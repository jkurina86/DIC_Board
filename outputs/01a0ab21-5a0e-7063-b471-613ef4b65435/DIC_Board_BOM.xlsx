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a9a7c1da8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6c735d87bc84bdd"/>
    <x:sheet xmlns:r="http://schemas.openxmlformats.org/officeDocument/2006/relationships" name="Sourcing and exclusions" sheetId="2" r:id="R30ba6de99f0a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b/>
      <x:sz val="16"/>
      <x:color rgb="FF202A35"/>
      <x:name val="Arial"/>
    </x:font>
    <x:font>
      <x:b/>
      <x:sz val="10"/>
      <x:color rgb="FF202A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ebc501ed24406" /><Relationship Type="http://schemas.openxmlformats.org/officeDocument/2006/relationships/theme" Target="/xl/theme/theme1.xml" Id="R9ac0ad8788534bb7" /><Relationship Type="http://schemas.openxmlformats.org/officeDocument/2006/relationships/sharedStrings" Target="/xl/sharedStrings.xml" Id="Re9cb83ee97994dec" /><Relationship Type="http://schemas.openxmlformats.org/officeDocument/2006/relationships/worksheet" Target="/xl/worksheets/sheet1.xml" Id="R06c735d87bc84bdd" /><Relationship Type="http://schemas.openxmlformats.org/officeDocument/2006/relationships/worksheet" Target="/xl/worksheets/sheet2.xml" Id="R30ba6de99f0a403a" /></Relationships>
</file>

<file path=xl/tables/table1.xml><?xml version="1.0" encoding="utf-8"?>
<x:table xmlns:x="http://schemas.openxmlformats.org/spreadsheetml/2006/main" id="1" name="RushPCB_BOM" displayName="RushPCB_BOM" ref="A1:G92" headerRowCount="1" totalsRowCount="0" totalsRowShown="0">
  <x:autoFilter ref="A1:G92"/>
  <x:tableColumns count="7">
    <x:tableColumn id="1" name="Item"/>
    <x:tableColumn id="2" name="QTY per board"/>
    <x:tableColumn id="3" name="REF. DES."/>
    <x:tableColumn id="4" name="Description"/>
    <x:tableColumn id="5" name="MFG or Supplier"/>
    <x:tableColumn id="6" name="MFG P/N or Supplier P/N"/>
    <x:tableColumn id="7" name="Internal Notes if An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ingDetails" displayName="SourcingDetails" ref="A14:G105" headerRowCount="1" totalsRowCount="0" totalsRowShown="0">
  <x:autoFilter ref="A14:G105"/>
  <x:tableColumns count="7">
    <x:tableColumn id="1" name="BOM item"/>
    <x:tableColumn id="2" name="Value"/>
    <x:tableColumn id="3" name="KiCad footprint"/>
    <x:tableColumn id="4" name="DigiKey P/N"/>
    <x:tableColumn id="5" name="Mouser P/N"/>
    <x:tableColumn id="6" name="Datasheet URL"/>
    <x:tableColumn id="7" name="Source schema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cce19c634746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aa47e054b44cc6" /></Relationships>
</file>

<file path=xl/worksheets/sheet1.xml><?xml version="1.0" encoding="utf-8"?>
<x:worksheet xmlns:x="http://schemas.openxmlformats.org/spreadsheetml/2006/main">
  <x:sheetPr>
    <x:tabColor rgb="FF27476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37" hidden="0" customWidth="1"/>
    <x:col min="4" max="4" width="57" hidden="0" customWidth="1"/>
    <x:col min="5" max="5" width="25" hidden="0" customWidth="1"/>
    <x:col min="6" max="6" width="34" hidden="0" customWidth="1"/>
    <x:col min="7" max="7" width="85" hidden="0" customWidth="1"/>
  </x:cols>
  <x:sheetData>
    <x:row r="1" ht="32" customHeight="1">
      <x:c r="A1" s="8" t="str">
        <x:v>Item</x:v>
      </x:c>
      <x:c r="B1" s="8" t="str">
        <x:v>QTY per board</x:v>
      </x:c>
      <x:c r="C1" s="8" t="str">
        <x:v>REF. DES.</x:v>
      </x:c>
      <x:c r="D1" s="8" t="str">
        <x:v>Description</x:v>
      </x:c>
      <x:c r="E1" s="8" t="str">
        <x:v>MFG or Supplier</x:v>
      </x:c>
      <x:c r="F1" s="8" t="str">
        <x:v>MFG P/N or Supplier P/N</x:v>
      </x:c>
      <x:c r="G1" s="8" t="str">
        <x:v>Internal Notes if Any</x:v>
      </x:c>
    </x:row>
    <x:row r="2" ht="50" customHeight="1">
      <x:c r="A2" s="4" t="n">
        <x:v>1</x:v>
      </x:c>
      <x:c r="B2" s="4" t="n">
        <x:v>1</x:v>
      </x:c>
      <x:c r="C2" s="3" t="str">
        <x:v>BT1</x:v>
      </x:c>
      <x:c r="D2" s="3" t="str">
        <x:v>Battery; 16 mm coin-cell retainer; battery separate; BatteryHolder_Keystone_3013_1x16mm</x:v>
      </x:c>
      <x:c r="E2" s="5" t="str">
        <x:v>Keystone Electronics</x:v>
      </x:c>
      <x:c r="F2" s="5" t="str">
        <x:v>3013</x:v>
      </x:c>
      <x:c r="G2" s="3" t="str">
        <x:v>BT1: 16mm coin-cell retainer only; battery purchased separately. Both TH tabs positive pad1; exposed PCB contact pad2 negative/GND. No paste on contact pad; use suitable clean contact finish.</x:v>
      </x:c>
    </x:row>
    <x:row r="3" ht="50" customHeight="1">
      <x:c r="A3" s="4" t="n">
        <x:v>2</x:v>
      </x:c>
      <x:c r="B3" s="4" t="n">
        <x:v>19</x:v>
      </x:c>
      <x:c r="C3" s="3" t="str">
        <x:v>C1, C2, C3, C4, C5, C6, C7, C8, C9, C11, C12, C14, C16, C20, C21, C27, C28, C30, C104</x:v>
      </x:c>
      <x:c r="D3" s="3" t="str">
        <x:v>100nF; C_0603_1608Metric</x:v>
      </x:c>
      <x:c r="E3" s="5" t="str">
        <x:v>TDK</x:v>
      </x:c>
      <x:c r="F3" s="5" t="str">
        <x:v>C1608X7R1H104K080AA</x:v>
      </x:c>
      <x:c r="G3" s="3" t="str"/>
    </x:row>
    <x:row r="4" ht="36" customHeight="1">
      <x:c r="A4" s="4" t="n">
        <x:v>3</x:v>
      </x:c>
      <x:c r="B4" s="4" t="n">
        <x:v>2</x:v>
      </x:c>
      <x:c r="C4" s="3" t="str">
        <x:v>C10, C13</x:v>
      </x:c>
      <x:c r="D4" s="3" t="str">
        <x:v>4.7uF; C_0805_2012Metric</x:v>
      </x:c>
      <x:c r="E4" s="5" t="str">
        <x:v>TDK</x:v>
      </x:c>
      <x:c r="F4" s="5" t="str">
        <x:v>C2012X7R1E475K125AB</x:v>
      </x:c>
      <x:c r="G4" s="3" t="str"/>
    </x:row>
    <x:row r="5" ht="36" customHeight="1">
      <x:c r="A5" s="4" t="n">
        <x:v>4</x:v>
      </x:c>
      <x:c r="B5" s="4" t="n">
        <x:v>5</x:v>
      </x:c>
      <x:c r="C5" s="3" t="str">
        <x:v>C15, C17, C19, C29, C43</x:v>
      </x:c>
      <x:c r="D5" s="3" t="str">
        <x:v>1uF; C_0603_1608Metric</x:v>
      </x:c>
      <x:c r="E5" s="5" t="str">
        <x:v>TDK</x:v>
      </x:c>
      <x:c r="F5" s="5" t="str">
        <x:v>C1608X7R1E105K080AB</x:v>
      </x:c>
      <x:c r="G5" s="3" t="str"/>
    </x:row>
    <x:row r="6" ht="36" customHeight="1">
      <x:c r="A6" s="4" t="n">
        <x:v>5</x:v>
      </x:c>
      <x:c r="B6" s="4" t="n">
        <x:v>3</x:v>
      </x:c>
      <x:c r="C6" s="3" t="str">
        <x:v>C18, C22, C322</x:v>
      </x:c>
      <x:c r="D6" s="3" t="str">
        <x:v>10nF; C_0603_1608Metric</x:v>
      </x:c>
      <x:c r="E6" s="5" t="str">
        <x:v>TDK</x:v>
      </x:c>
      <x:c r="F6" s="5" t="str">
        <x:v>C1608X7R1H103K080AA</x:v>
      </x:c>
      <x:c r="G6" s="3" t="str"/>
    </x:row>
    <x:row r="7" ht="36" customHeight="1">
      <x:c r="A7" s="4" t="n">
        <x:v>6</x:v>
      </x:c>
      <x:c r="B7" s="4" t="n">
        <x:v>2</x:v>
      </x:c>
      <x:c r="C7" s="3" t="str">
        <x:v>C23, C24</x:v>
      </x:c>
      <x:c r="D7" s="3" t="str">
        <x:v>12pF; Unpolarized capacitor; C_0603_1608Metric</x:v>
      </x:c>
      <x:c r="E7" s="5" t="str">
        <x:v>TDK</x:v>
      </x:c>
      <x:c r="F7" s="5" t="str">
        <x:v>C1608C0G1H120J080AA</x:v>
      </x:c>
      <x:c r="G7" s="3" t="str"/>
    </x:row>
    <x:row r="8" ht="36" customHeight="1">
      <x:c r="A8" s="4" t="n">
        <x:v>7</x:v>
      </x:c>
      <x:c r="B8" s="4" t="n">
        <x:v>2</x:v>
      </x:c>
      <x:c r="C8" s="3" t="str">
        <x:v>C25, C26</x:v>
      </x:c>
      <x:c r="D8" s="3" t="str">
        <x:v>6.8pF; Unpolarized capacitor; C_0402_1005Metric</x:v>
      </x:c>
      <x:c r="E8" s="5" t="str">
        <x:v>Murata</x:v>
      </x:c>
      <x:c r="F8" s="5" t="str">
        <x:v>GRM1555C1H6R8CA01D</x:v>
      </x:c>
      <x:c r="G8" s="3" t="str"/>
    </x:row>
    <x:row r="9" ht="36" customHeight="1">
      <x:c r="A9" s="4" t="n">
        <x:v>8</x:v>
      </x:c>
      <x:c r="B9" s="4" t="n">
        <x:v>1</x:v>
      </x:c>
      <x:c r="C9" s="3" t="str">
        <x:v>C31</x:v>
      </x:c>
      <x:c r="D9" s="3" t="str">
        <x:v>10uF; microSD local bulk decoupling; C_0805_2012Metric</x:v>
      </x:c>
      <x:c r="E9" s="5" t="str">
        <x:v>TDK</x:v>
      </x:c>
      <x:c r="F9" s="5" t="str">
        <x:v>C2012X7S1C106K125AC</x:v>
      </x:c>
      <x:c r="G9" s="3" t="str"/>
    </x:row>
    <x:row r="10" ht="36" customHeight="1">
      <x:c r="A10" s="4" t="n">
        <x:v>9</x:v>
      </x:c>
      <x:c r="B10" s="4" t="n">
        <x:v>10</x:v>
      </x:c>
      <x:c r="C10" s="3" t="str">
        <x:v>C32, C33, C34, C35, C36, C37, C38, C39, C40, C42</x:v>
      </x:c>
      <x:c r="D10" s="3" t="str">
        <x:v>0.1uF; Unpolarized capacitor; C_0603_1608Metric</x:v>
      </x:c>
      <x:c r="E10" s="5" t="str">
        <x:v>TDK</x:v>
      </x:c>
      <x:c r="F10" s="5" t="str">
        <x:v>C1608X7R1H104K080AA</x:v>
      </x:c>
      <x:c r="G10" s="3" t="str"/>
    </x:row>
    <x:row r="11" ht="36" customHeight="1">
      <x:c r="A11" s="4" t="n">
        <x:v>10</x:v>
      </x:c>
      <x:c r="B11" s="4" t="n">
        <x:v>2</x:v>
      </x:c>
      <x:c r="C11" s="3" t="str">
        <x:v>C41, C100</x:v>
      </x:c>
      <x:c r="D11" s="3" t="str">
        <x:v>100uF; CP_Elec_8x10.5</x:v>
      </x:c>
      <x:c r="E11" s="5" t="str">
        <x:v>Panasonic</x:v>
      </x:c>
      <x:c r="F11" s="5" t="str">
        <x:v>EEHZA1V101P</x:v>
      </x:c>
      <x:c r="G11" s="3" t="str"/>
    </x:row>
    <x:row r="12" ht="78" customHeight="1">
      <x:c r="A12" s="4" t="n">
        <x:v>11</x:v>
      </x:c>
      <x:c r="B12" s="4" t="n">
        <x:v>25</x:v>
      </x:c>
      <x:c r="C12" s="3" t="str">
        <x:v>C101, C102, C103, C300, C304, C307, C309, C310, C311, C312, C313, C315, C318, C326, C329, C331, C332, C333, C334, C336, C337, C338, C339, C341, C342</x:v>
      </x:c>
      <x:c r="D12" s="3" t="str">
        <x:v>100nF; C_0402_1005Metric</x:v>
      </x:c>
      <x:c r="E12" s="5" t="str">
        <x:v>Murata</x:v>
      </x:c>
      <x:c r="F12" s="5" t="str">
        <x:v>GRM155R71H104ME14D</x:v>
      </x:c>
      <x:c r="G12" s="3" t="str"/>
    </x:row>
    <x:row r="13" ht="36" customHeight="1">
      <x:c r="A13" s="4" t="n">
        <x:v>12</x:v>
      </x:c>
      <x:c r="B13" s="4" t="n">
        <x:v>2</x:v>
      </x:c>
      <x:c r="C13" s="3" t="str">
        <x:v>C105, C323</x:v>
      </x:c>
      <x:c r="D13" s="3" t="str">
        <x:v>1nF; C_0603_1608Metric</x:v>
      </x:c>
      <x:c r="E13" s="5" t="str">
        <x:v>TDK</x:v>
      </x:c>
      <x:c r="F13" s="5" t="str">
        <x:v>C1608C0G1H102J080AA</x:v>
      </x:c>
      <x:c r="G13" s="3" t="str"/>
    </x:row>
    <x:row r="14" ht="36" customHeight="1">
      <x:c r="A14" s="4" t="n">
        <x:v>13</x:v>
      </x:c>
      <x:c r="B14" s="4" t="n">
        <x:v>1</x:v>
      </x:c>
      <x:c r="C14" s="3" t="str">
        <x:v>C106</x:v>
      </x:c>
      <x:c r="D14" s="3" t="str">
        <x:v>10uF; VCC bypass; C_1206_3216Metric</x:v>
      </x:c>
      <x:c r="E14" s="5" t="str">
        <x:v>Murata</x:v>
      </x:c>
      <x:c r="F14" s="5" t="str">
        <x:v>GRM31CR71E106KA12L</x:v>
      </x:c>
      <x:c r="G14" s="3" t="str"/>
    </x:row>
    <x:row r="15" ht="50" customHeight="1">
      <x:c r="A15" s="4" t="n">
        <x:v>14</x:v>
      </x:c>
      <x:c r="B15" s="4" t="n">
        <x:v>17</x:v>
      </x:c>
      <x:c r="C15" s="3" t="str">
        <x:v>C107, C108, C115, C116, C121, C122, C126, C127, C130, C131, C301, C303, C306, C314, C317, C325, C328</x:v>
      </x:c>
      <x:c r="D15" s="3" t="str">
        <x:v>10uF; C_1206_3216Metric</x:v>
      </x:c>
      <x:c r="E15" s="5" t="str">
        <x:v>TDK</x:v>
      </x:c>
      <x:c r="F15" s="5" t="str">
        <x:v>CGA5L1X7R1H106K160AC</x:v>
      </x:c>
      <x:c r="G15" s="3" t="str"/>
    </x:row>
    <x:row r="16" ht="36" customHeight="1">
      <x:c r="A16" s="4" t="n">
        <x:v>15</x:v>
      </x:c>
      <x:c r="B16" s="4" t="n">
        <x:v>4</x:v>
      </x:c>
      <x:c r="C16" s="3" t="str">
        <x:v>C109, C110, C111, C112</x:v>
      </x:c>
      <x:c r="D16" s="3" t="str">
        <x:v>22uF; 12-V output capacitor; C_1210_3225Metric</x:v>
      </x:c>
      <x:c r="E16" s="5" t="str">
        <x:v>Murata</x:v>
      </x:c>
      <x:c r="F16" s="5" t="str">
        <x:v>GRM32ER71E226ME15L</x:v>
      </x:c>
      <x:c r="G16" s="3" t="str"/>
    </x:row>
    <x:row r="17" ht="36" customHeight="1">
      <x:c r="A17" s="4" t="n">
        <x:v>16</x:v>
      </x:c>
      <x:c r="B17" s="4" t="n">
        <x:v>1</x:v>
      </x:c>
      <x:c r="C17" s="3" t="str">
        <x:v>C113</x:v>
      </x:c>
      <x:c r="D17" s="3" t="str">
        <x:v>220uF; 12-V output capacitor; CP_Elec_8x10.5</x:v>
      </x:c>
      <x:c r="E17" s="5" t="str">
        <x:v>Panasonic</x:v>
      </x:c>
      <x:c r="F17" s="5" t="str">
        <x:v>EEHZA1E221P</x:v>
      </x:c>
      <x:c r="G17" s="3" t="str"/>
    </x:row>
    <x:row r="18" ht="36" customHeight="1">
      <x:c r="A18" s="4" t="n">
        <x:v>17</x:v>
      </x:c>
      <x:c r="B18" s="4" t="n">
        <x:v>8</x:v>
      </x:c>
      <x:c r="C18" s="3" t="str">
        <x:v>C117, C118, C123, C124, C128, C129, C133, C134</x:v>
      </x:c>
      <x:c r="D18" s="3" t="str">
        <x:v>47uF; C_1210_3225Metric</x:v>
      </x:c>
      <x:c r="E18" s="5" t="str">
        <x:v>Murata</x:v>
      </x:c>
      <x:c r="F18" s="5" t="str">
        <x:v>GRM32ER61A476ME20L</x:v>
      </x:c>
      <x:c r="G18" s="3" t="str"/>
    </x:row>
    <x:row r="19" ht="36" customHeight="1">
      <x:c r="A19" s="4" t="n">
        <x:v>18</x:v>
      </x:c>
      <x:c r="B19" s="4" t="n">
        <x:v>1</x:v>
      </x:c>
      <x:c r="C19" s="3" t="str">
        <x:v>C119</x:v>
      </x:c>
      <x:c r="D19" s="3" t="str">
        <x:v>10nF; CDC timing capacitor; C_0402_1005Metric</x:v>
      </x:c>
      <x:c r="E19" s="5" t="str">
        <x:v>TDK</x:v>
      </x:c>
      <x:c r="F19" s="5" t="str">
        <x:v>CGA2B3X7R1H103K050BB</x:v>
      </x:c>
      <x:c r="G19" s="3" t="str"/>
    </x:row>
    <x:row r="20" ht="36" customHeight="1">
      <x:c r="A20" s="4" t="n">
        <x:v>19</x:v>
      </x:c>
      <x:c r="B20" s="4" t="n">
        <x:v>3</x:v>
      </x:c>
      <x:c r="C20" s="3" t="str">
        <x:v>C200, C210, C220</x:v>
      </x:c>
      <x:c r="D20" s="3" t="str">
        <x:v>0.47uF; C_0603_1608Metric_Pad1.08x0.95mm_HandSolder</x:v>
      </x:c>
      <x:c r="E20" s="5" t="str">
        <x:v>TDK</x:v>
      </x:c>
      <x:c r="F20" s="5" t="str">
        <x:v>CGA3E3X7R1H474K080AE</x:v>
      </x:c>
      <x:c r="G20" s="3" t="str"/>
    </x:row>
    <x:row r="21" ht="36" customHeight="1">
      <x:c r="A21" s="4" t="n">
        <x:v>20</x:v>
      </x:c>
      <x:c r="B21" s="4" t="n">
        <x:v>3</x:v>
      </x:c>
      <x:c r="C21" s="3" t="str">
        <x:v>C201, C211, C221</x:v>
      </x:c>
      <x:c r="D21" s="3" t="str">
        <x:v>0.01uF; C_0603_1608Metric_Pad1.08x0.95mm_HandSolder</x:v>
      </x:c>
      <x:c r="E21" s="5" t="str">
        <x:v>KEMET</x:v>
      </x:c>
      <x:c r="F21" s="5" t="str">
        <x:v>C0603C103K2RACTU</x:v>
      </x:c>
      <x:c r="G21" s="3" t="str"/>
    </x:row>
    <x:row r="22" ht="36" customHeight="1">
      <x:c r="A22" s="4" t="n">
        <x:v>21</x:v>
      </x:c>
      <x:c r="B22" s="4" t="n">
        <x:v>6</x:v>
      </x:c>
      <x:c r="C22" s="3" t="str">
        <x:v>C202, C203, C212, C213, C222, C223</x:v>
      </x:c>
      <x:c r="D22" s="3" t="str">
        <x:v>0.1uF; C_0603_1608Metric_Pad1.08x0.95mm_HandSolder</x:v>
      </x:c>
      <x:c r="E22" s="5" t="str">
        <x:v>KEMET</x:v>
      </x:c>
      <x:c r="F22" s="5" t="str">
        <x:v>C0603X104K5RAC7867</x:v>
      </x:c>
      <x:c r="G22" s="3" t="str"/>
    </x:row>
    <x:row r="23" ht="50" customHeight="1">
      <x:c r="A23" s="4" t="n">
        <x:v>22</x:v>
      </x:c>
      <x:c r="B23" s="4" t="n">
        <x:v>3</x:v>
      </x:c>
      <x:c r="C23" s="3" t="str">
        <x:v>C204, C214, C224</x:v>
      </x:c>
      <x:c r="D23" s="3" t="str">
        <x:v>100uF; 100uF 50V 20%; 8x11.5mm radial, 3.5mm pitch; coordinated with TPS552892 startup budget; CP_Radial_D8.0mm_P3.50mm</x:v>
      </x:c>
      <x:c r="E23" s="5" t="str">
        <x:v>Nichicon</x:v>
      </x:c>
      <x:c r="F23" s="5" t="str">
        <x:v>UHE1H101MPD</x:v>
      </x:c>
      <x:c r="G23" s="3" t="str"/>
    </x:row>
    <x:row r="24" ht="36" customHeight="1">
      <x:c r="A24" s="4" t="n">
        <x:v>23</x:v>
      </x:c>
      <x:c r="B24" s="4" t="n">
        <x:v>7</x:v>
      </x:c>
      <x:c r="C24" s="3" t="str">
        <x:v>C302, C305, C308, C316, C319, C327, C330</x:v>
      </x:c>
      <x:c r="D24" s="3" t="str">
        <x:v>22nF; Output ESD capacitor; C_0402_1005Metric</x:v>
      </x:c>
      <x:c r="E24" s="5" t="str">
        <x:v>Murata</x:v>
      </x:c>
      <x:c r="F24" s="5" t="str">
        <x:v>GRM155R71H223KA12D</x:v>
      </x:c>
      <x:c r="G24" s="3" t="str"/>
    </x:row>
    <x:row r="25" ht="36" customHeight="1">
      <x:c r="A25" s="4" t="n">
        <x:v>24</x:v>
      </x:c>
      <x:c r="B25" s="4" t="n">
        <x:v>1</x:v>
      </x:c>
      <x:c r="C25" s="3" t="str">
        <x:v>C320</x:v>
      </x:c>
      <x:c r="D25" s="3" t="str">
        <x:v>2.2uF 16V; STSPIN220 local ceramic supply capacitor; C_0603_1608Metric</x:v>
      </x:c>
      <x:c r="E25" s="5" t="str">
        <x:v>TDK</x:v>
      </x:c>
      <x:c r="F25" s="5" t="str">
        <x:v>C1608X5R1C225K080AB</x:v>
      </x:c>
      <x:c r="G25" s="3" t="str"/>
    </x:row>
    <x:row r="26" ht="36" customHeight="1">
      <x:c r="A26" s="4" t="n">
        <x:v>25</x:v>
      </x:c>
      <x:c r="B26" s="4" t="n">
        <x:v>1</x:v>
      </x:c>
      <x:c r="C26" s="3" t="str">
        <x:v>C321</x:v>
      </x:c>
      <x:c r="D26" s="3" t="str">
        <x:v>22uF 16V; STSPIN220 local bulk supply capacitor; C_1210_3225Metric</x:v>
      </x:c>
      <x:c r="E26" s="5" t="str">
        <x:v>Murata</x:v>
      </x:c>
      <x:c r="F26" s="5" t="str">
        <x:v>GRM32ER71E226ME15L</x:v>
      </x:c>
      <x:c r="G26" s="3" t="str"/>
    </x:row>
    <x:row r="27" ht="36" customHeight="1">
      <x:c r="A27" s="4" t="n">
        <x:v>26</x:v>
      </x:c>
      <x:c r="B27" s="4" t="n">
        <x:v>1</x:v>
      </x:c>
      <x:c r="C27" s="3" t="str">
        <x:v>C324</x:v>
      </x:c>
      <x:c r="D27" s="3" t="str">
        <x:v>22nF; TOFF stability capacitor; C_0603_1608Metric</x:v>
      </x:c>
      <x:c r="E27" s="5" t="str">
        <x:v>TDK</x:v>
      </x:c>
      <x:c r="F27" s="5" t="str">
        <x:v>C1608X7R1H223K080AA</x:v>
      </x:c>
      <x:c r="G27" s="3" t="str"/>
    </x:row>
    <x:row r="28" ht="36" customHeight="1">
      <x:c r="A28" s="4" t="n">
        <x:v>27</x:v>
      </x:c>
      <x:c r="B28" s="4" t="n">
        <x:v>4</x:v>
      </x:c>
      <x:c r="C28" s="3" t="str">
        <x:v>C901, C902, C903, C904</x:v>
      </x:c>
      <x:c r="D28" s="3" t="str">
        <x:v>180uF 16V; CP_Elec_6.3x5.9</x:v>
      </x:c>
      <x:c r="E28" s="5" t="str">
        <x:v>Panasonic</x:v>
      </x:c>
      <x:c r="F28" s="5" t="str">
        <x:v>16SVPF180M</x:v>
      </x:c>
      <x:c r="G28" s="3" t="str"/>
    </x:row>
    <x:row r="29" ht="36" customHeight="1">
      <x:c r="A29" s="4" t="n">
        <x:v>28</x:v>
      </x:c>
      <x:c r="B29" s="4" t="n">
        <x:v>3</x:v>
      </x:c>
      <x:c r="C29" s="3" t="str">
        <x:v>D1, D2, D6</x:v>
      </x:c>
      <x:c r="D29" s="3" t="str">
        <x:v>RCLAMP0582B; SOT-523</x:v>
      </x:c>
      <x:c r="E29" s="5" t="str">
        <x:v>Semtech</x:v>
      </x:c>
      <x:c r="F29" s="5" t="str">
        <x:v>RClamp0582B.TCT</x:v>
      </x:c>
      <x:c r="G29" s="3" t="str">
        <x:v>D6: Pin1 protects CC2;pin3=GND;pin2 unused NC.</x:v>
      </x:c>
    </x:row>
    <x:row r="30" ht="36" customHeight="1">
      <x:c r="A30" s="4" t="n">
        <x:v>29</x:v>
      </x:c>
      <x:c r="B30" s="4" t="n">
        <x:v>1</x:v>
      </x:c>
      <x:c r="C30" s="3" t="str">
        <x:v>D3</x:v>
      </x:c>
      <x:c r="D30" s="3" t="str">
        <x:v>STPS1L40ZF; 40 V, 1 A low-drop Schottky freewheel rectifier, SOD-123Flat; D_SOD-123F</x:v>
      </x:c>
      <x:c r="E30" s="5" t="str">
        <x:v>STMicroelectronics</x:v>
      </x:c>
      <x:c r="F30" s="5" t="str">
        <x:v>STPS1L40ZF</x:v>
      </x:c>
      <x:c r="G30" s="3" t="str">
        <x:v>D3: Freewheel clamp: pin 1 cathode to switched output; pin 2 anode to GND.</x:v>
      </x:c>
    </x:row>
    <x:row r="31" ht="36" customHeight="1">
      <x:c r="A31" s="4" t="n">
        <x:v>30</x:v>
      </x:c>
      <x:c r="B31" s="4" t="n">
        <x:v>1</x:v>
      </x:c>
      <x:c r="C31" s="3" t="str">
        <x:v>D4</x:v>
      </x:c>
      <x:c r="D31" s="3" t="str">
        <x:v>STPS3L60U; 60 V, 3 A low-drop Schottky freewheel rectifier, SMB; D_SMB</x:v>
      </x:c>
      <x:c r="E31" s="5" t="str">
        <x:v>STMicroelectronics</x:v>
      </x:c>
      <x:c r="F31" s="5" t="str">
        <x:v>STPS3L60U</x:v>
      </x:c>
      <x:c r="G31" s="3" t="str">
        <x:v>D4: Freewheel clamp sized above SBE 5P startup surge: pin 1 cathode to switched +12V output; pin 2 anode to GND.</x:v>
      </x:c>
    </x:row>
    <x:row r="32" ht="36" customHeight="1">
      <x:c r="A32" s="4" t="n">
        <x:v>31</x:v>
      </x:c>
      <x:c r="B32" s="4" t="n">
        <x:v>1</x:v>
      </x:c>
      <x:c r="C32" s="3" t="str">
        <x:v>D5</x:v>
      </x:c>
      <x:c r="D32" s="3" t="str">
        <x:v>BZT52C8V2-7-F; 8.2V gate-source Zener clamp, cathode to P-channel source; D_SOD-123</x:v>
      </x:c>
      <x:c r="E32" s="5" t="str">
        <x:v>Diodes Incorporated</x:v>
      </x:c>
      <x:c r="F32" s="5" t="str">
        <x:v>BZT52C8V2-7-F</x:v>
      </x:c>
      <x:c r="G32" s="3" t="str"/>
    </x:row>
    <x:row r="33" ht="36" customHeight="1">
      <x:c r="A33" s="4" t="n">
        <x:v>32</x:v>
      </x:c>
      <x:c r="B33" s="4" t="n">
        <x:v>1</x:v>
      </x:c>
      <x:c r="C33" s="3" t="str">
        <x:v>D10</x:v>
      </x:c>
      <x:c r="D33" s="3" t="str">
        <x:v>SMBJ18A; Unidirectional input TVS; cathode pad 1 to P_IN, anode pad 2 to GND.; D_SMB</x:v>
      </x:c>
      <x:c r="E33" s="5" t="str">
        <x:v>Littelfuse</x:v>
      </x:c>
      <x:c r="F33" s="5" t="str">
        <x:v>SMBJ18A</x:v>
      </x:c>
      <x:c r="G33" s="3" t="str">
        <x:v>D10: SMBJ18A unidirectional: cathode band must face footprint pad 1/P_IN.</x:v>
      </x:c>
    </x:row>
    <x:row r="34" ht="36" customHeight="1">
      <x:c r="A34" s="4" t="n">
        <x:v>33</x:v>
      </x:c>
      <x:c r="B34" s="4" t="n">
        <x:v>1</x:v>
      </x:c>
      <x:c r="C34" s="3" t="str">
        <x:v>F10</x:v>
      </x:c>
      <x:c r="D34" s="3" t="str">
        <x:v>8A; Input fuse; Fuse_Littelfuse-NANO2-451_453</x:v>
      </x:c>
      <x:c r="E34" s="5" t="str">
        <x:v>Littelfuse</x:v>
      </x:c>
      <x:c r="F34" s="5" t="str">
        <x:v>0451008.MRL</x:v>
      </x:c>
      <x:c r="G34" s="3" t="str"/>
    </x:row>
    <x:row r="35" ht="36" customHeight="1">
      <x:c r="A35" s="4" t="n">
        <x:v>34</x:v>
      </x:c>
      <x:c r="B35" s="4" t="n">
        <x:v>1</x:v>
      </x:c>
      <x:c r="C35" s="3" t="str">
        <x:v>FB1</x:v>
      </x:c>
      <x:c r="D35" s="3" t="str">
        <x:v>600R @ 100MHz; Ferrite bead, small symbol; L_0603_1608Metric</x:v>
      </x:c>
      <x:c r="E35" s="5" t="str">
        <x:v>Murata</x:v>
      </x:c>
      <x:c r="F35" s="5" t="str">
        <x:v>BLM18AG601SN1D</x:v>
      </x:c>
      <x:c r="G35" s="3" t="str"/>
    </x:row>
    <x:row r="36" ht="50" customHeight="1">
      <x:c r="A36" s="4" t="n">
        <x:v>35</x:v>
      </x:c>
      <x:c r="B36" s="4" t="n">
        <x:v>1</x:v>
      </x:c>
      <x:c r="C36" s="3" t="str">
        <x:v>J1</x:v>
      </x:c>
      <x:c r="D36" s="3" t="str">
        <x:v>DM3AT-SF-PEJM5; Hirose push-push microSD socket with active-low card detect; microSD_HC_Hirose_DM3AT-SF-PEJM5</x:v>
      </x:c>
      <x:c r="E36" s="5" t="str">
        <x:v>Hirose</x:v>
      </x:c>
      <x:c r="F36" s="5" t="str">
        <x:v>DM3AT-SF-PEJM5</x:v>
      </x:c>
      <x:c r="G36" s="3" t="str"/>
    </x:row>
    <x:row r="37" ht="50" customHeight="1">
      <x:c r="A37" s="4" t="n">
        <x:v>36</x:v>
      </x:c>
      <x:c r="B37" s="4" t="n">
        <x:v>1</x:v>
      </x:c>
      <x:c r="C37" s="3" t="str">
        <x:v>J2</x:v>
      </x:c>
      <x:c r="D37" s="3" t="str">
        <x:v>Conn_ARM_JTAG_SWD_10; Cortex Debug Connector, standard ARM Cortex-M SWD and JTAG interface; Wurth_61201021621_2x05_P2.54mm_Vertical</x:v>
      </x:c>
      <x:c r="E37" s="5" t="str">
        <x:v>Wurth Elektronik</x:v>
      </x:c>
      <x:c r="F37" s="5" t="str">
        <x:v>61201021621</x:v>
      </x:c>
      <x:c r="G37" s="3" t="str">
        <x:v>J2: User-selected 2.54mm-pitch shrouded 10-pin header; retains existing ARM SWD pin numbering. Requires matching 2.54mm cable/adapter; pin7 present but NC.</x:v>
      </x:c>
    </x:row>
    <x:row r="38" ht="64" customHeight="1">
      <x:c r="A38" s="4" t="n">
        <x:v>37</x:v>
      </x:c>
      <x:c r="B38" s="4" t="n">
        <x:v>2</x:v>
      </x:c>
      <x:c r="C38" s="3" t="str">
        <x:v>J3, J4</x:v>
      </x:c>
      <x:c r="D38" s="3" t="str">
        <x:v>0430451200; Molex Micro-Fit 3.0 right-angle through-hole header, dual row, 12 circuits, 3.00 mm pitch, MPN 0430451200; Molex_Micro-Fit_3.0_43045-1200_2x06_P3.00mm_Horizontal</x:v>
      </x:c>
      <x:c r="E38" s="5" t="str">
        <x:v>Molex</x:v>
      </x:c>
      <x:c r="F38" s="5" t="str">
        <x:v>0430451200</x:v>
      </x:c>
      <x:c r="G38" s="3" t="str"/>
    </x:row>
    <x:row r="39" ht="64" customHeight="1">
      <x:c r="A39" s="4" t="n">
        <x:v>38</x:v>
      </x:c>
      <x:c r="B39" s="4" t="n">
        <x:v>1</x:v>
      </x:c>
      <x:c r="C39" s="3" t="str">
        <x:v>J5</x:v>
      </x:c>
      <x:c r="D39" s="3" t="str">
        <x:v>Conn_01x10; Generic connector, single row, 01x10, script generated (kicad-library-utils/schlib/autogen/connector/); Molex_Micro-Fit_3.0_43045-1000_2x05_P3.00mm_Horizontal</x:v>
      </x:c>
      <x:c r="E39" s="5" t="str">
        <x:v>Molex</x:v>
      </x:c>
      <x:c r="F39" s="5" t="str">
        <x:v>0430451000</x:v>
      </x:c>
      <x:c r="G39" s="3" t="str"/>
    </x:row>
    <x:row r="40" ht="64" customHeight="1">
      <x:c r="A40" s="4" t="n">
        <x:v>39</x:v>
      </x:c>
      <x:c r="B40" s="4" t="n">
        <x:v>7</x:v>
      </x:c>
      <x:c r="C40" s="3" t="str">
        <x:v>J6, J7, J8, J9, J10, J11, J12</x:v>
      </x:c>
      <x:c r="D40" s="3" t="str">
        <x:v>Conn_01x04; Generic connector, single row, 01x04, script generated (kicad-library-utils/schlib/autogen/connector/); Molex_Micro-Fit_3.0_43045-0400_2x02_P3.00mm_Horizontal</x:v>
      </x:c>
      <x:c r="E40" s="5" t="str">
        <x:v>Molex</x:v>
      </x:c>
      <x:c r="F40" s="5" t="str">
        <x:v>0430450400</x:v>
      </x:c>
      <x:c r="G40" s="3" t="str"/>
    </x:row>
    <x:row r="41" ht="50" customHeight="1">
      <x:c r="A41" s="4" t="n">
        <x:v>40</x:v>
      </x:c>
      <x:c r="B41" s="4" t="n">
        <x:v>1</x:v>
      </x:c>
      <x:c r="C41" s="3" t="str">
        <x:v>J13</x:v>
      </x:c>
      <x:c r="D41" s="3" t="str">
        <x:v>Conn_01x05_Pin; Generic connector, single row, 01x05, script generated; PinHeader_Wurth_61300511121_1x05_P2.54mm_Vertical</x:v>
      </x:c>
      <x:c r="E41" s="5" t="str">
        <x:v>Wurth Elektronik</x:v>
      </x:c>
      <x:c r="F41" s="5" t="str">
        <x:v>61300511121</x:v>
      </x:c>
      <x:c r="G41" s="3" t="str">
        <x:v>J13: User specified PTH male header; selected 1x5,2.54mm pitch,vertical,0.64mm square pins,6mm mating length and3mm solder tails. Recommended1.1mm holes.</x:v>
      </x:c>
    </x:row>
    <x:row r="42" ht="106" customHeight="1">
      <x:c r="A42" s="4" t="n">
        <x:v>41</x:v>
      </x:c>
      <x:c r="B42" s="4" t="n">
        <x:v>3</x:v>
      </x:c>
      <x:c r="C42" s="3" t="str">
        <x:v>J30, J31, J33</x:v>
      </x:c>
      <x:c r="D42" s="3" t="str">
        <x:v>0430450200; Molex Micro-Fit 3.0 two-circuit right-angle through-hole header; Molex_Micro-Fit_3.0_43045-0200_2x01_P3.00mm_Horizontal</x:v>
      </x:c>
      <x:c r="E42" s="5" t="str">
        <x:v>Molex</x:v>
      </x:c>
      <x:c r="F42" s="5" t="str">
        <x:v>0430450200</x:v>
      </x:c>
      <x:c r="G42" s="3" t="str">
        <x:v>J30: Pin 1 = GND; pin 2 = switched +12 V. Mating housing 0430250200 and female contacts required.
J31: Pin 1 = GND; pin 2 = external positive supply, through F10 to P_IN. Mating housing 0430250200 and female contacts required. Verify harness polarity before connection.
J33: Pin 1 = GND / pump black lead; pin 2 = switched +6V6 / pump red lead. Mating housing 0430250200 and female contacts required.</x:v>
      </x:c>
    </x:row>
    <x:row r="43" ht="50" customHeight="1">
      <x:c r="A43" s="4" t="n">
        <x:v>42</x:v>
      </x:c>
      <x:c r="B43" s="4" t="n">
        <x:v>1</x:v>
      </x:c>
      <x:c r="C43" s="3" t="str">
        <x:v>JP1</x:v>
      </x:c>
      <x:c r="D43" s="3" t="str">
        <x:v>Conn_01x03_Pin; Generic connector, single row, 01x03, script generated; PinHeader_Wurth_61300311121_1x03_P2.54mm_Vertical</x:v>
      </x:c>
      <x:c r="E43" s="5" t="str">
        <x:v>Wurth Elektronik</x:v>
      </x:c>
      <x:c r="F43" s="5" t="str">
        <x:v>61300311121</x:v>
      </x:c>
      <x:c r="G43" s="3" t="str">
        <x:v>JP1: User specified PTH male header; selected 1x3,2.54mm pitch,vertical,0.64mm square pins,6mm mating length and3mm solder tails. Recommended1.1mm holes.</x:v>
      </x:c>
    </x:row>
    <x:row r="44" ht="36" customHeight="1">
      <x:c r="A44" s="4" t="n">
        <x:v>43</x:v>
      </x:c>
      <x:c r="B44" s="4" t="n">
        <x:v>1</x:v>
      </x:c>
      <x:c r="C44" s="3" t="str">
        <x:v>L10</x:v>
      </x:c>
      <x:c r="D44" s="3" t="str">
        <x:v>4.7uH; Buck-boost inductor; L_Coilcraft_XAL1010-XXX</x:v>
      </x:c>
      <x:c r="E44" s="5" t="str">
        <x:v>Coilcraft</x:v>
      </x:c>
      <x:c r="F44" s="5" t="str">
        <x:v>XAL1010-472MEB</x:v>
      </x:c>
      <x:c r="G44" s="3" t="str"/>
    </x:row>
    <x:row r="45" ht="64" customHeight="1">
      <x:c r="A45" s="4" t="n">
        <x:v>44</x:v>
      </x:c>
      <x:c r="B45" s="4" t="n">
        <x:v>1</x:v>
      </x:c>
      <x:c r="C45" s="3" t="str">
        <x:v>P1</x:v>
      </x:c>
      <x:c r="D45" s="3" t="str">
        <x:v>USB4105-GF-A; USB-C USB2.0 receptacle, top-mount, horizontal, SMT contacts and through-hole shell anchors; USB_C_Receptacle_GCT_USB4105-xx-A_16P_TopMnt_Horizontal</x:v>
      </x:c>
      <x:c r="E45" s="5" t="str">
        <x:v>GCT</x:v>
      </x:c>
      <x:c r="F45" s="5" t="str">
        <x:v>USB4105-GF-A</x:v>
      </x:c>
      <x:c r="G45" s="3" t="str">
        <x:v>P1: Device/UFP socket: CC1 and CC2 each have an independent5.1k Rd; A6/B6=D+,A7/B7=D-. SBU pins unused.</x:v>
      </x:c>
    </x:row>
    <x:row r="46" ht="50" customHeight="1">
      <x:c r="A46" s="4" t="n">
        <x:v>45</x:v>
      </x:c>
      <x:c r="B46" s="4" t="n">
        <x:v>1</x:v>
      </x:c>
      <x:c r="C46" s="3" t="str">
        <x:v>Q1</x:v>
      </x:c>
      <x:c r="D46" s="3" t="str">
        <x:v>AO4630; 30V complementary MOSFET;PMOS RDSon78mohm max at-2.5V;SOIC8;S1=1,G1=2,S2=3,G2=4,D2=5/6,D1=7/8; SOIC-8_3.9x4.9mm_P1.27mm</x:v>
      </x:c>
      <x:c r="E46" s="5" t="str">
        <x:v>Alpha &amp; Omega Semiconductor</x:v>
      </x:c>
      <x:c r="F46" s="5" t="str">
        <x:v>AO4630</x:v>
      </x:c>
      <x:c r="G46" s="3" t="str"/>
    </x:row>
    <x:row r="47" ht="36" customHeight="1">
      <x:c r="A47" s="4" t="n">
        <x:v>46</x:v>
      </x:c>
      <x:c r="B47" s="4" t="n">
        <x:v>2</x:v>
      </x:c>
      <x:c r="C47" s="3" t="str">
        <x:v>R1, R326</x:v>
      </x:c>
      <x:c r="D47" s="3" t="str">
        <x:v>47k; R_0603_1608Metric</x:v>
      </x:c>
      <x:c r="E47" s="5" t="str">
        <x:v>Vishay</x:v>
      </x:c>
      <x:c r="F47" s="5" t="str">
        <x:v>CRCW060347K0FKEA</x:v>
      </x:c>
      <x:c r="G47" s="3" t="str"/>
    </x:row>
    <x:row r="48" ht="36" customHeight="1">
      <x:c r="A48" s="4" t="n">
        <x:v>47</x:v>
      </x:c>
      <x:c r="B48" s="4" t="n">
        <x:v>5</x:v>
      </x:c>
      <x:c r="C48" s="3" t="str">
        <x:v>R2, R5, R6, R8, R14</x:v>
      </x:c>
      <x:c r="D48" s="3" t="str">
        <x:v>10k; R_0603_1608Metric</x:v>
      </x:c>
      <x:c r="E48" s="5" t="str">
        <x:v>Vishay</x:v>
      </x:c>
      <x:c r="F48" s="5" t="str">
        <x:v>CRCW060310K0FKEA</x:v>
      </x:c>
      <x:c r="G48" s="3" t="str"/>
    </x:row>
    <x:row r="49" ht="36" customHeight="1">
      <x:c r="A49" s="4" t="n">
        <x:v>48</x:v>
      </x:c>
      <x:c r="B49" s="4" t="n">
        <x:v>2</x:v>
      </x:c>
      <x:c r="C49" s="3" t="str">
        <x:v>R3, R19</x:v>
      </x:c>
      <x:c r="D49" s="3" t="str">
        <x:v>470R; Resistor; R_0603_1608Metric</x:v>
      </x:c>
      <x:c r="E49" s="5" t="str">
        <x:v>Vishay</x:v>
      </x:c>
      <x:c r="F49" s="5" t="str">
        <x:v>CRCW0603470RFKEA</x:v>
      </x:c>
      <x:c r="G49" s="3" t="str"/>
    </x:row>
    <x:row r="50" ht="36" customHeight="1">
      <x:c r="A50" s="4" t="n">
        <x:v>49</x:v>
      </x:c>
      <x:c r="B50" s="4" t="n">
        <x:v>1</x:v>
      </x:c>
      <x:c r="C50" s="3" t="str">
        <x:v>R4</x:v>
      </x:c>
      <x:c r="D50" s="3" t="str">
        <x:v>0R; Resistor; R_0603_1608Metric</x:v>
      </x:c>
      <x:c r="E50" s="5" t="str">
        <x:v>Vishay</x:v>
      </x:c>
      <x:c r="F50" s="5" t="str">
        <x:v>CRCW06030000Z0EA</x:v>
      </x:c>
      <x:c r="G50" s="3" t="str"/>
    </x:row>
    <x:row r="51" ht="36" customHeight="1">
      <x:c r="A51" s="4" t="n">
        <x:v>50</x:v>
      </x:c>
      <x:c r="B51" s="4" t="n">
        <x:v>1</x:v>
      </x:c>
      <x:c r="C51" s="3" t="str">
        <x:v>R7</x:v>
      </x:c>
      <x:c r="D51" s="3" t="str">
        <x:v>33R; SDMMC clock source termination; R_0603_1608Metric</x:v>
      </x:c>
      <x:c r="E51" s="5" t="str">
        <x:v>Vishay</x:v>
      </x:c>
      <x:c r="F51" s="5" t="str">
        <x:v>CRCW060333R0FKEA</x:v>
      </x:c>
      <x:c r="G51" s="3" t="str"/>
    </x:row>
    <x:row r="52" ht="36" customHeight="1">
      <x:c r="A52" s="4" t="n">
        <x:v>51</x:v>
      </x:c>
      <x:c r="B52" s="4" t="n">
        <x:v>5</x:v>
      </x:c>
      <x:c r="C52" s="3" t="str">
        <x:v>R9, R10, R11, R12, R13</x:v>
      </x:c>
      <x:c r="D52" s="3" t="str">
        <x:v>47K; SDMMC clock source termination; R_0603_1608Metric</x:v>
      </x:c>
      <x:c r="E52" s="5" t="str">
        <x:v>Vishay</x:v>
      </x:c>
      <x:c r="F52" s="5" t="str">
        <x:v>CRCW060347K0FKEA</x:v>
      </x:c>
      <x:c r="G52" s="3" t="str"/>
    </x:row>
    <x:row r="53" ht="36" customHeight="1">
      <x:c r="A53" s="4" t="n">
        <x:v>52</x:v>
      </x:c>
      <x:c r="B53" s="4" t="n">
        <x:v>4</x:v>
      </x:c>
      <x:c r="C53" s="3" t="str">
        <x:v>R15, R16, R17, R18</x:v>
      </x:c>
      <x:c r="D53" s="3" t="str">
        <x:v>22R; Resistor; R_0603_1608Metric</x:v>
      </x:c>
      <x:c r="E53" s="5" t="str">
        <x:v>Vishay</x:v>
      </x:c>
      <x:c r="F53" s="5" t="str">
        <x:v>CRCW060322R0FKEA</x:v>
      </x:c>
      <x:c r="G53" s="3" t="str"/>
    </x:row>
    <x:row r="54" ht="36" customHeight="1">
      <x:c r="A54" s="4" t="n">
        <x:v>53</x:v>
      </x:c>
      <x:c r="B54" s="4" t="n">
        <x:v>4</x:v>
      </x:c>
      <x:c r="C54" s="3" t="str">
        <x:v>R20, R21, R22, R104</x:v>
      </x:c>
      <x:c r="D54" s="3" t="str">
        <x:v>100k; R_0402_1005Metric</x:v>
      </x:c>
      <x:c r="E54" s="5" t="str">
        <x:v>Vishay</x:v>
      </x:c>
      <x:c r="F54" s="5" t="str">
        <x:v>CRCW0402100KFKED</x:v>
      </x:c>
      <x:c r="G54" s="3" t="str"/>
    </x:row>
    <x:row r="55" ht="36" customHeight="1">
      <x:c r="A55" s="4" t="n">
        <x:v>54</x:v>
      </x:c>
      <x:c r="B55" s="4" t="n">
        <x:v>1</x:v>
      </x:c>
      <x:c r="C55" s="3" t="str">
        <x:v>R23</x:v>
      </x:c>
      <x:c r="D55" s="3" t="str">
        <x:v>33k; USB VBUS sense upper divider; R_0402_1005Metric</x:v>
      </x:c>
      <x:c r="E55" s="5" t="str">
        <x:v>Vishay</x:v>
      </x:c>
      <x:c r="F55" s="5" t="str">
        <x:v>CRCW040233K0FKED</x:v>
      </x:c>
      <x:c r="G55" s="3" t="str"/>
    </x:row>
    <x:row r="56" ht="36" customHeight="1">
      <x:c r="A56" s="4" t="n">
        <x:v>55</x:v>
      </x:c>
      <x:c r="B56" s="4" t="n">
        <x:v>1</x:v>
      </x:c>
      <x:c r="C56" s="3" t="str">
        <x:v>R24</x:v>
      </x:c>
      <x:c r="D56" s="3" t="str">
        <x:v>82k; USB VBUS sense lower divider; R_0402_1005Metric</x:v>
      </x:c>
      <x:c r="E56" s="5" t="str">
        <x:v>Vishay</x:v>
      </x:c>
      <x:c r="F56" s="5" t="str">
        <x:v>CRCW040282K0FKED</x:v>
      </x:c>
      <x:c r="G56" s="3" t="str"/>
    </x:row>
    <x:row r="57" ht="36" customHeight="1">
      <x:c r="A57" s="4" t="n">
        <x:v>56</x:v>
      </x:c>
      <x:c r="B57" s="4" t="n">
        <x:v>2</x:v>
      </x:c>
      <x:c r="C57" s="3" t="str">
        <x:v>R25, R351</x:v>
      </x:c>
      <x:c r="D57" s="3" t="str">
        <x:v>5.1k; R_0402_1005Metric</x:v>
      </x:c>
      <x:c r="E57" s="5" t="str">
        <x:v>Vishay</x:v>
      </x:c>
      <x:c r="F57" s="5" t="str">
        <x:v>CRCW04025K10FKED</x:v>
      </x:c>
      <x:c r="G57" s="3" t="str"/>
    </x:row>
    <x:row r="58" ht="36" customHeight="1">
      <x:c r="A58" s="4" t="n">
        <x:v>57</x:v>
      </x:c>
      <x:c r="B58" s="4" t="n">
        <x:v>1</x:v>
      </x:c>
      <x:c r="C58" s="3" t="str">
        <x:v>R100</x:v>
      </x:c>
      <x:c r="D58" s="3" t="str">
        <x:v>150k; EN upper divider; R_0402_1005Metric</x:v>
      </x:c>
      <x:c r="E58" s="5" t="str">
        <x:v>Vishay</x:v>
      </x:c>
      <x:c r="F58" s="5" t="str">
        <x:v>CRCW0402150KFKED</x:v>
      </x:c>
      <x:c r="G58" s="3" t="str"/>
    </x:row>
    <x:row r="59" ht="36" customHeight="1">
      <x:c r="A59" s="4" t="n">
        <x:v>58</x:v>
      </x:c>
      <x:c r="B59" s="4" t="n">
        <x:v>2</x:v>
      </x:c>
      <x:c r="C59" s="3" t="str">
        <x:v>R101, R112</x:v>
      </x:c>
      <x:c r="D59" s="3" t="str">
        <x:v>24.9k; R_0402_1005Metric</x:v>
      </x:c>
      <x:c r="E59" s="5" t="str">
        <x:v>Vishay</x:v>
      </x:c>
      <x:c r="F59" s="5" t="str">
        <x:v>CRCW040224K9FKED</x:v>
      </x:c>
      <x:c r="G59" s="3" t="str"/>
    </x:row>
    <x:row r="60" ht="36" customHeight="1">
      <x:c r="A60" s="4" t="n">
        <x:v>59</x:v>
      </x:c>
      <x:c r="B60" s="4" t="n">
        <x:v>1</x:v>
      </x:c>
      <x:c r="C60" s="3" t="str">
        <x:v>R102</x:v>
      </x:c>
      <x:c r="D60" s="3" t="str">
        <x:v>49.9k; 400-kHz frequency set; R_0402_1005Metric</x:v>
      </x:c>
      <x:c r="E60" s="5" t="str">
        <x:v>Vishay</x:v>
      </x:c>
      <x:c r="F60" s="5" t="str">
        <x:v>CRCW040249K9FKED</x:v>
      </x:c>
      <x:c r="G60" s="3" t="str"/>
    </x:row>
    <x:row r="61" ht="36" customHeight="1">
      <x:c r="A61" s="4" t="n">
        <x:v>60</x:v>
      </x:c>
      <x:c r="B61" s="4" t="n">
        <x:v>1</x:v>
      </x:c>
      <x:c r="C61" s="3" t="str">
        <x:v>R103</x:v>
      </x:c>
      <x:c r="D61" s="3" t="str">
        <x:v>10m; 10mOhm 1% 1W; nominal 5A output limit; Kelvin sense; R_2512_6332Metric</x:v>
      </x:c>
      <x:c r="E61" s="5" t="str">
        <x:v>Vishay</x:v>
      </x:c>
      <x:c r="F61" s="5" t="str">
        <x:v>WSL2512R0100FEA</x:v>
      </x:c>
      <x:c r="G61" s="3" t="str"/>
    </x:row>
    <x:row r="62" ht="36" customHeight="1">
      <x:c r="A62" s="4" t="n">
        <x:v>61</x:v>
      </x:c>
      <x:c r="B62" s="4" t="n">
        <x:v>1</x:v>
      </x:c>
      <x:c r="C62" s="3" t="str">
        <x:v>R105</x:v>
      </x:c>
      <x:c r="D62" s="3" t="str">
        <x:v>11.1k; 12-V feedback lower; R_0402_1005Metric</x:v>
      </x:c>
      <x:c r="E62" s="5" t="str">
        <x:v>Vishay</x:v>
      </x:c>
      <x:c r="F62" s="5" t="str">
        <x:v>CRCW040211K1FKED</x:v>
      </x:c>
      <x:c r="G62" s="3" t="str"/>
    </x:row>
    <x:row r="63" ht="36" customHeight="1">
      <x:c r="A63" s="4" t="n">
        <x:v>62</x:v>
      </x:c>
      <x:c r="B63" s="4" t="n">
        <x:v>5</x:v>
      </x:c>
      <x:c r="C63" s="3" t="str">
        <x:v>R106, R109, R116, R119, R123</x:v>
      </x:c>
      <x:c r="D63" s="3" t="str">
        <x:v>10k; R_0402_1005Metric</x:v>
      </x:c>
      <x:c r="E63" s="5" t="str">
        <x:v>Vishay</x:v>
      </x:c>
      <x:c r="F63" s="5" t="str">
        <x:v>CRCW040210K0FKED</x:v>
      </x:c>
      <x:c r="G63" s="3" t="str"/>
    </x:row>
    <x:row r="64" ht="36" customHeight="1">
      <x:c r="A64" s="4" t="n">
        <x:v>63</x:v>
      </x:c>
      <x:c r="B64" s="4" t="n">
        <x:v>1</x:v>
      </x:c>
      <x:c r="C64" s="3" t="str">
        <x:v>R110</x:v>
      </x:c>
      <x:c r="D64" s="3" t="str">
        <x:v>4.32k; 3V3 feedback lower; R_0402_1005Metric</x:v>
      </x:c>
      <x:c r="E64" s="5" t="str">
        <x:v>Vishay</x:v>
      </x:c>
      <x:c r="F64" s="5" t="str">
        <x:v>CRCW04024K32FKED</x:v>
      </x:c>
      <x:c r="G64" s="3" t="str"/>
    </x:row>
    <x:row r="65" ht="36" customHeight="1">
      <x:c r="A65" s="4" t="n">
        <x:v>64</x:v>
      </x:c>
      <x:c r="B65" s="4" t="n">
        <x:v>1</x:v>
      </x:c>
      <x:c r="C65" s="3" t="str">
        <x:v>R117</x:v>
      </x:c>
      <x:c r="D65" s="3" t="str">
        <x:v>2.49k; 5V feedback lower; R_0402_1005Metric</x:v>
      </x:c>
      <x:c r="E65" s="5" t="str">
        <x:v>Vishay</x:v>
      </x:c>
      <x:c r="F65" s="5" t="str">
        <x:v>CRCW04022K49FKED</x:v>
      </x:c>
      <x:c r="G65" s="3" t="str"/>
    </x:row>
    <x:row r="66" ht="36" customHeight="1">
      <x:c r="A66" s="4" t="n">
        <x:v>65</x:v>
      </x:c>
      <x:c r="B66" s="4" t="n">
        <x:v>1</x:v>
      </x:c>
      <x:c r="C66" s="3" t="str">
        <x:v>R120</x:v>
      </x:c>
      <x:c r="D66" s="3" t="str">
        <x:v>1.78k; 6V6 feedback lower; R_0402_1005Metric</x:v>
      </x:c>
      <x:c r="E66" s="5" t="str">
        <x:v>Vishay</x:v>
      </x:c>
      <x:c r="F66" s="5" t="str">
        <x:v>CRCW04021K78FKED</x:v>
      </x:c>
      <x:c r="G66" s="3" t="str"/>
    </x:row>
    <x:row r="67" ht="36" customHeight="1">
      <x:c r="A67" s="4" t="n">
        <x:v>66</x:v>
      </x:c>
      <x:c r="B67" s="4" t="n">
        <x:v>1</x:v>
      </x:c>
      <x:c r="C67" s="3" t="str">
        <x:v>R124</x:v>
      </x:c>
      <x:c r="D67" s="3" t="str">
        <x:v>5.56k; 2V7 feedback lower; R_0402_1005Metric</x:v>
      </x:c>
      <x:c r="E67" s="5" t="str">
        <x:v>Vishay</x:v>
      </x:c>
      <x:c r="F67" s="5" t="str">
        <x:v>CRCW04025K56FKED</x:v>
      </x:c>
      <x:c r="G67" s="3" t="str"/>
    </x:row>
    <x:row r="68" ht="36" customHeight="1">
      <x:c r="A68" s="4" t="n">
        <x:v>67</x:v>
      </x:c>
      <x:c r="B68" s="4" t="n">
        <x:v>9</x:v>
      </x:c>
      <x:c r="C68" s="3" t="str">
        <x:v>R301, R304, R307, R310, R313, R316, R341, R345, R346</x:v>
      </x:c>
      <x:c r="D68" s="3" t="str">
        <x:v>100k; Enable pull-down; R_0402_1005Metric</x:v>
      </x:c>
      <x:c r="E68" s="5" t="str">
        <x:v>Vishay Dale</x:v>
      </x:c>
      <x:c r="F68" s="5" t="str">
        <x:v>CRCW0402100KFKED</x:v>
      </x:c>
      <x:c r="G68" s="3" t="str"/>
    </x:row>
    <x:row r="69" ht="36" customHeight="1">
      <x:c r="A69" s="4" t="n">
        <x:v>68</x:v>
      </x:c>
      <x:c r="B69" s="4" t="n">
        <x:v>7</x:v>
      </x:c>
      <x:c r="C69" s="3" t="str">
        <x:v>R302, R305, R308, R311, R314, R317, R342</x:v>
      </x:c>
      <x:c r="D69" s="3" t="str">
        <x:v>1.00k; Approximately 2.5-A current-limit set resistor; R_0402_1005Metric</x:v>
      </x:c>
      <x:c r="E69" s="5" t="str">
        <x:v>Vishay Dale</x:v>
      </x:c>
      <x:c r="F69" s="5" t="str">
        <x:v>CRCW04021K00FKED</x:v>
      </x:c>
      <x:c r="G69" s="3" t="str"/>
    </x:row>
    <x:row r="70" ht="36" customHeight="1">
      <x:c r="A70" s="4" t="n">
        <x:v>69</x:v>
      </x:c>
      <x:c r="B70" s="4" t="n">
        <x:v>4</x:v>
      </x:c>
      <x:c r="C70" s="3" t="str">
        <x:v>R309, R312, R315, R340</x:v>
      </x:c>
      <x:c r="D70" s="3" t="str">
        <x:v>15k; MCU input protection; R_0402_1005Metric</x:v>
      </x:c>
      <x:c r="E70" s="5" t="str">
        <x:v>Vishay Dale</x:v>
      </x:c>
      <x:c r="F70" s="5" t="str">
        <x:v>CRCW040215K0FKED</x:v>
      </x:c>
      <x:c r="G70" s="3" t="str"/>
    </x:row>
    <x:row r="71" ht="50" customHeight="1">
      <x:c r="A71" s="4" t="n">
        <x:v>70</x:v>
      </x:c>
      <x:c r="B71" s="4" t="n">
        <x:v>12</x:v>
      </x:c>
      <x:c r="C71" s="3" t="str">
        <x:v>R318, R319, R330, R331, R332, R333, R334, R335, R336, R337, R338, R339</x:v>
      </x:c>
      <x:c r="D71" s="3" t="str">
        <x:v>3.3R; R_0402_1005Metric</x:v>
      </x:c>
      <x:c r="E71" s="5" t="str">
        <x:v>Vishay</x:v>
      </x:c>
      <x:c r="F71" s="5" t="str">
        <x:v>CRCW04023R30FKEDHP</x:v>
      </x:c>
      <x:c r="G71" s="3" t="str"/>
    </x:row>
    <x:row r="72" ht="36" customHeight="1">
      <x:c r="A72" s="4" t="n">
        <x:v>71</x:v>
      </x:c>
      <x:c r="B72" s="4" t="n">
        <x:v>2</x:v>
      </x:c>
      <x:c r="C72" s="3" t="str">
        <x:v>R320, R321</x:v>
      </x:c>
      <x:c r="D72" s="3" t="str">
        <x:v>2.00R 1%; R_1206_3216Metric</x:v>
      </x:c>
      <x:c r="E72" s="5" t="str">
        <x:v>Vishay</x:v>
      </x:c>
      <x:c r="F72" s="5" t="str">
        <x:v>CRCW12062R00FKEA</x:v>
      </x:c>
      <x:c r="G72" s="3" t="str"/>
    </x:row>
    <x:row r="73" ht="36" customHeight="1">
      <x:c r="A73" s="4" t="n">
        <x:v>72</x:v>
      </x:c>
      <x:c r="B73" s="4" t="n">
        <x:v>4</x:v>
      </x:c>
      <x:c r="C73" s="3" t="str">
        <x:v>R322, R323, R324, R325</x:v>
      </x:c>
      <x:c r="D73" s="3" t="str">
        <x:v>20k; R_0603_1608Metric</x:v>
      </x:c>
      <x:c r="E73" s="5" t="str">
        <x:v>Vishay</x:v>
      </x:c>
      <x:c r="F73" s="5" t="str">
        <x:v>CRCW060320K0FKEA</x:v>
      </x:c>
      <x:c r="G73" s="3" t="str"/>
    </x:row>
    <x:row r="74" ht="36" customHeight="1">
      <x:c r="A74" s="4" t="n">
        <x:v>73</x:v>
      </x:c>
      <x:c r="B74" s="4" t="n">
        <x:v>1</x:v>
      </x:c>
      <x:c r="C74" s="3" t="str">
        <x:v>R327</x:v>
      </x:c>
      <x:c r="D74" s="3" t="str">
        <x:v>1k; TOFF stability resistor; R_0603_1608Metric</x:v>
      </x:c>
      <x:c r="E74" s="5" t="str">
        <x:v>Vishay</x:v>
      </x:c>
      <x:c r="F74" s="5" t="str">
        <x:v>CRCW06031K00FKEA</x:v>
      </x:c>
      <x:c r="G74" s="3" t="str"/>
    </x:row>
    <x:row r="75" ht="36" customHeight="1">
      <x:c r="A75" s="4" t="n">
        <x:v>74</x:v>
      </x:c>
      <x:c r="B75" s="4" t="n">
        <x:v>1</x:v>
      </x:c>
      <x:c r="C75" s="3" t="str">
        <x:v>R328</x:v>
      </x:c>
      <x:c r="D75" s="3" t="str">
        <x:v>2.87k; Bounded current-reference upper resistor, 0.1% required; R_0603_1608Metric</x:v>
      </x:c>
      <x:c r="E75" s="5" t="str">
        <x:v>Vishay</x:v>
      </x:c>
      <x:c r="F75" s="5" t="str">
        <x:v>TNPW06032K87BEEA</x:v>
      </x:c>
      <x:c r="G75" s="3" t="str"/>
    </x:row>
    <x:row r="76" ht="36" customHeight="1">
      <x:c r="A76" s="4" t="n">
        <x:v>75</x:v>
      </x:c>
      <x:c r="B76" s="4" t="n">
        <x:v>1</x:v>
      </x:c>
      <x:c r="C76" s="3" t="str">
        <x:v>R329</x:v>
      </x:c>
      <x:c r="D76" s="3" t="str">
        <x:v>487R; Bounded current-reference lower resistor, 0.1% required; R_0603_1608Metric</x:v>
      </x:c>
      <x:c r="E76" s="5" t="str">
        <x:v>Vishay</x:v>
      </x:c>
      <x:c r="F76" s="5" t="str">
        <x:v>TNPW0603487RBEEA</x:v>
      </x:c>
      <x:c r="G76" s="3" t="str"/>
    </x:row>
    <x:row r="77" ht="36" customHeight="1">
      <x:c r="A77" s="4" t="n">
        <x:v>76</x:v>
      </x:c>
      <x:c r="B77" s="4" t="n">
        <x:v>2</x:v>
      </x:c>
      <x:c r="C77" s="3" t="str">
        <x:v>R343, R344</x:v>
      </x:c>
      <x:c r="D77" s="3" t="str">
        <x:v>4.7k; R_0603_1608Metric</x:v>
      </x:c>
      <x:c r="E77" s="5" t="str">
        <x:v>Vishay</x:v>
      </x:c>
      <x:c r="F77" s="5" t="str">
        <x:v>CRCW06034K70FKEA</x:v>
      </x:c>
      <x:c r="G77" s="3" t="str"/>
    </x:row>
    <x:row r="78" ht="36" customHeight="1">
      <x:c r="A78" s="4" t="n">
        <x:v>77</x:v>
      </x:c>
      <x:c r="B78" s="4" t="n">
        <x:v>1</x:v>
      </x:c>
      <x:c r="C78" s="3" t="str">
        <x:v>R347</x:v>
      </x:c>
      <x:c r="D78" s="3" t="str">
        <x:v>4.7k; R_0402_1005Metric</x:v>
      </x:c>
      <x:c r="E78" s="5" t="str">
        <x:v>Vishay</x:v>
      </x:c>
      <x:c r="F78" s="5" t="str">
        <x:v>CRCW04024K70FKED</x:v>
      </x:c>
      <x:c r="G78" s="3" t="str"/>
    </x:row>
    <x:row r="79" ht="36" customHeight="1">
      <x:c r="A79" s="4" t="n">
        <x:v>78</x:v>
      </x:c>
      <x:c r="B79" s="4" t="n">
        <x:v>3</x:v>
      </x:c>
      <x:c r="C79" s="3" t="str">
        <x:v>R348, R349, R350</x:v>
      </x:c>
      <x:c r="D79" s="3" t="str">
        <x:v>100k; R_0603_1608Metric</x:v>
      </x:c>
      <x:c r="E79" s="5" t="str">
        <x:v>Vishay</x:v>
      </x:c>
      <x:c r="F79" s="5" t="str">
        <x:v>CRCW0603100KFKEA</x:v>
      </x:c>
      <x:c r="G79" s="3" t="str"/>
    </x:row>
    <x:row r="80" ht="50" customHeight="1">
      <x:c r="A80" s="4" t="n">
        <x:v>79</x:v>
      </x:c>
      <x:c r="B80" s="4" t="n">
        <x:v>1</x:v>
      </x:c>
      <x:c r="C80" s="3" t="str">
        <x:v>RV1</x:v>
      </x:c>
      <x:c r="D80" s="3" t="str">
        <x:v>10k trim; 10k current-limit trimmer; wiper tied to VREF-side terminal for fail-safe operation; Potentiometer_Bourns_3314J_Vertical</x:v>
      </x:c>
      <x:c r="E80" s="5" t="str">
        <x:v>Bourns</x:v>
      </x:c>
      <x:c r="F80" s="5" t="str">
        <x:v>3314J-1-103E</x:v>
      </x:c>
      <x:c r="G80" s="3" t="str"/>
    </x:row>
    <x:row r="81" ht="36" customHeight="1">
      <x:c r="A81" s="4" t="n">
        <x:v>80</x:v>
      </x:c>
      <x:c r="B81" s="4" t="n">
        <x:v>1</x:v>
      </x:c>
      <x:c r="C81" s="3" t="str">
        <x:v>SW1</x:v>
      </x:c>
      <x:c r="D81" s="3" t="str">
        <x:v>SW_Push; Push button switch, generic, two pins; SW_ESwitch_TL6330AF200Q</x:v>
      </x:c>
      <x:c r="E81" s="5" t="str">
        <x:v>E-Switch</x:v>
      </x:c>
      <x:c r="F81" s="5" t="str">
        <x:v>TL6330AF200Q</x:v>
      </x:c>
      <x:c r="G81" s="3" t="str">
        <x:v>SW1: Physical switch terminals 1/2 are internally common and map to schematic pin1 (NRST); terminals 3/4 map to schematic pin2 (GND).</x:v>
      </x:c>
    </x:row>
    <x:row r="82" ht="50" customHeight="1">
      <x:c r="A82" s="4" t="n">
        <x:v>81</x:v>
      </x:c>
      <x:c r="B82" s="4" t="n">
        <x:v>1</x:v>
      </x:c>
      <x:c r="C82" s="3" t="str">
        <x:v>U1</x:v>
      </x:c>
      <x:c r="D82" s="3" t="str">
        <x:v>STM32L476ZGTx; STMicroelectronics Arm Cortex-M4 MCU, 1024KB flash, 128KB RAM, 80 MHz, 1.71-3.6V, 114 GPIO, LQFP144; LQFP-144_20x20mm_P0.5mm</x:v>
      </x:c>
      <x:c r="E82" s="5" t="str">
        <x:v>STMicroelectronics</x:v>
      </x:c>
      <x:c r="F82" s="5" t="str">
        <x:v>STM32L476ZGT6</x:v>
      </x:c>
      <x:c r="G82" s="3" t="str"/>
    </x:row>
    <x:row r="83" ht="50" customHeight="1">
      <x:c r="A83" s="4" t="n">
        <x:v>82</x:v>
      </x:c>
      <x:c r="B83" s="4" t="n">
        <x:v>1</x:v>
      </x:c>
      <x:c r="C83" s="3" t="str">
        <x:v>U2</x:v>
      </x:c>
      <x:c r="D83" s="3" t="str">
        <x:v>AB-RTCMC-32.768kHz-EOA9-S3; DTCXO temperature-compensated real-time clock module with SPI bus, 3.7x2.5x0.9 mm; RTC_SMD_MicroCrystal_C3_2.5x3.7mm</x:v>
      </x:c>
      <x:c r="E83" s="5" t="str">
        <x:v>Abracon</x:v>
      </x:c>
      <x:c r="F83" s="5" t="str">
        <x:v>AB-RTCMC-32.768kHz-EOA9-S3</x:v>
      </x:c>
      <x:c r="G83" s="3" t="str"/>
    </x:row>
    <x:row r="84" ht="50" customHeight="1">
      <x:c r="A84" s="4" t="n">
        <x:v>83</x:v>
      </x:c>
      <x:c r="B84" s="4" t="n">
        <x:v>1</x:v>
      </x:c>
      <x:c r="C84" s="3" t="str">
        <x:v>U3</x:v>
      </x:c>
      <x:c r="D84" s="3" t="str">
        <x:v>APS6404L-3SQRX-SN; 64 Mbit (8 MiB) 3.3 V Quad-SPI pseudo-SRAM, extended temperature, SOP-8; SOIC-8_3.9x4.9mm_P1.27mm</x:v>
      </x:c>
      <x:c r="E84" s="5" t="str">
        <x:v>AP Memory</x:v>
      </x:c>
      <x:c r="F84" s="5" t="str">
        <x:v>APS6404L-3SQRX-SN</x:v>
      </x:c>
      <x:c r="G84" s="3" t="str"/>
    </x:row>
    <x:row r="85" ht="50" customHeight="1">
      <x:c r="A85" s="4" t="n">
        <x:v>84</x:v>
      </x:c>
      <x:c r="B85" s="4" t="n">
        <x:v>1</x:v>
      </x:c>
      <x:c r="C85" s="3" t="str">
        <x:v>U10</x:v>
      </x:c>
      <x:c r="D85" s="3" t="str">
        <x:v>TPS552892RYQR; 10-14V input; 12V nominal / 3A continuous design target; qualify thermal and startup; Texas_RYQ0021A_TPS552892</x:v>
      </x:c>
      <x:c r="E85" s="5" t="str">
        <x:v>Texas Instruments</x:v>
      </x:c>
      <x:c r="F85" s="5" t="str">
        <x:v>TPS552892RYQR</x:v>
      </x:c>
      <x:c r="G85" s="3" t="str">
        <x:v>U10: RYQ0021A, 21 pins; all four MOSFETs internal; not pin compatible with TPS552882</x:v>
      </x:c>
    </x:row>
    <x:row r="86" ht="36" customHeight="1">
      <x:c r="A86" s="4" t="n">
        <x:v>85</x:v>
      </x:c>
      <x:c r="B86" s="4" t="n">
        <x:v>4</x:v>
      </x:c>
      <x:c r="C86" s="3" t="str">
        <x:v>U11, U12, U13, U14</x:v>
      </x:c>
      <x:c r="D86" s="3" t="str">
        <x:v>TPSM53603RDAR; 36-V input, 3-A step-down power module; Texas_B3QFN-14-1EP_5x5.5mm_P0.65mm_ThermalVia</x:v>
      </x:c>
      <x:c r="E86" s="5" t="str">
        <x:v>Texas Instruments</x:v>
      </x:c>
      <x:c r="F86" s="5" t="str">
        <x:v>TPSM53603RDAR</x:v>
      </x:c>
      <x:c r="G86" s="3" t="str"/>
    </x:row>
    <x:row r="87" ht="50" customHeight="1">
      <x:c r="A87" s="4" t="n">
        <x:v>86</x:v>
      </x:c>
      <x:c r="B87" s="4" t="n">
        <x:v>3</x:v>
      </x:c>
      <x:c r="C87" s="3" t="str">
        <x:v>U20, U21, U22</x:v>
      </x:c>
      <x:c r="D87" s="3" t="str">
        <x:v>DRV8823QDCARQ1; Automotive quad H-bridge serial motor driver; used for four latching valves; DRV8823_DCA48_ReviewFixed</x:v>
      </x:c>
      <x:c r="E87" s="5" t="str">
        <x:v>Texas Instruments</x:v>
      </x:c>
      <x:c r="F87" s="5" t="str">
        <x:v>DRV8823QDCARQ1</x:v>
      </x:c>
      <x:c r="G87" s="3" t="str"/>
    </x:row>
    <x:row r="88" ht="106" customHeight="1">
      <x:c r="A88" s="4" t="n">
        <x:v>87</x:v>
      </x:c>
      <x:c r="B88" s="4" t="n">
        <x:v>7</x:v>
      </x:c>
      <x:c r="C88" s="3" t="str">
        <x:v>U30, U31, U33, U35, U36, U37, U38</x:v>
      </x:c>
      <x:c r="D88" s="3" t="str">
        <x:v>TPS27S100APWPR; 40-V, 4-A, 80-mOhm single-channel industrial smart high-side switch; Texas_HTSSOP-14-1EP_4.4x5mm_P0.65mm_EP3.4x5mm_Mask3.155x3.255mm_ThermalVias</x:v>
      </x:c>
      <x:c r="E88" s="5" t="str">
        <x:v>Texas Instruments</x:v>
      </x:c>
      <x:c r="F88" s="5" t="str">
        <x:v>TPS27S100APWPR</x:v>
      </x:c>
      <x:c r="G88" s="3" t="str">
        <x:v>U30: R302 = 1.00 kOhm sets approximately 2.5 A current limit for the SBE 5P.
U31: R302 = 1.00 kOhm sets approximately 2.5 A current limit for the SBE 5P.
U33: R302 = 1.00 kOhm sets approximately 2.5 A current limit for the SBE 5P.
U35: R302 = 1.00 kOhm sets approximately 2.5 A current limit for the SBE 5P.
U36: R302 = 1.00 kOhm sets approximately 2.5 A current limit for the SBE 5P.
U37: R302 = 1.00 kOhm sets approximately 2.5 A current limit for the SBE 5P.
U38: R302 = 1.00 kOhm sets approximately 2.5 A current limit for the SBE 5P.</x:v>
      </x:c>
    </x:row>
    <x:row r="89" ht="36" customHeight="1">
      <x:c r="A89" s="4" t="n">
        <x:v>88</x:v>
      </x:c>
      <x:c r="B89" s="4" t="n">
        <x:v>1</x:v>
      </x:c>
      <x:c r="C89" s="3" t="str">
        <x:v>U32</x:v>
      </x:c>
      <x:c r="D89" s="3" t="str">
        <x:v>STSPIN220; Low-voltage stepper motor driver; VQFN-16-1EP_3x3mm_P0.5mm_EP1.8x1.8mm</x:v>
      </x:c>
      <x:c r="E89" s="5" t="str">
        <x:v>STMicroelectronics</x:v>
      </x:c>
      <x:c r="F89" s="5" t="str">
        <x:v>STSPIN220</x:v>
      </x:c>
      <x:c r="G89" s="3" t="str"/>
    </x:row>
    <x:row r="90" ht="50" customHeight="1">
      <x:c r="A90" s="4" t="n">
        <x:v>89</x:v>
      </x:c>
      <x:c r="B90" s="4" t="n">
        <x:v>3</x:v>
      </x:c>
      <x:c r="C90" s="3" t="str">
        <x:v>U34, U39, U40</x:v>
      </x:c>
      <x:c r="D90" s="3" t="str">
        <x:v>MAX3226EETE+; Single RS-232 driver/receiver with AutoShutdown Plus, 16-TQFN package; TQFN-16-1EP_5x5mm_P0.8mm_EP3.1x3.1mm</x:v>
      </x:c>
      <x:c r="E90" s="5" t="str">
        <x:v>Analog Devices / Maxim Integrated</x:v>
      </x:c>
      <x:c r="F90" s="5" t="str">
        <x:v>MAX3226EETE+</x:v>
      </x:c>
      <x:c r="G90" s="3" t="str"/>
    </x:row>
    <x:row r="91" ht="50" customHeight="1">
      <x:c r="A91" s="4" t="n">
        <x:v>90</x:v>
      </x:c>
      <x:c r="B91" s="4" t="n">
        <x:v>1</x:v>
      </x:c>
      <x:c r="C91" s="3" t="str">
        <x:v>Y1</x:v>
      </x:c>
      <x:c r="D91" s="3" t="str">
        <x:v>ABM8AAIG-8.000MHz-V2R-T3; 8 MHz fundamental-mode crystal, 8 pF load, 2-SMD 3.2 x 2.5 mm, AEC-Q200; ABM8AAIG-2Pin_3.2x2.5mm</x:v>
      </x:c>
      <x:c r="E91" s="5" t="str">
        <x:v>Abracon</x:v>
      </x:c>
      <x:c r="F91" s="5" t="str">
        <x:v>ABM8AAIG-8.000MHz-V2R-T3</x:v>
      </x:c>
      <x:c r="G91" s="3" t="str"/>
    </x:row>
    <x:row r="92" ht="50" customHeight="1">
      <x:c r="A92" s="4" t="n">
        <x:v>91</x:v>
      </x:c>
      <x:c r="B92" s="4" t="n">
        <x:v>1</x:v>
      </x:c>
      <x:c r="C92" s="3" t="str">
        <x:v>Y2</x:v>
      </x:c>
      <x:c r="D92" s="3" t="str">
        <x:v>ABS06-107-32.768KHZ-T; 32.768 kHz tuning-fork crystal, 4 pF load, 2-SMD 2.0 x 1.2 mm; ABS06-107-2Pin_2.0x1.2mm</x:v>
      </x:c>
      <x:c r="E92" s="5" t="str">
        <x:v>Abracon</x:v>
      </x:c>
      <x:c r="F92" s="5" t="str">
        <x:v>ABS06-107-32.768KHZ-T</x:v>
      </x:c>
      <x:c r="G92" s="3" t="str"/>
    </x:row>
  </x:sheetData>
  <x:pageMargins left="0.7" right="0.7" top="0.75" bottom="0.75" header="0.3" footer="0.3"/>
  <x:tableParts count="1">
    <x:tablePart xmlns:r="http://schemas.openxmlformats.org/officeDocument/2006/relationships" r:id="Rfbcce19c634746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9" hidden="0" customWidth="1"/>
    <x:col min="2" max="2" width="23" hidden="0" customWidth="1"/>
    <x:col min="3" max="3" width="62" hidden="0" customWidth="1"/>
    <x:col min="4" max="4" width="29" hidden="0" customWidth="1"/>
    <x:col min="5" max="5" width="29" hidden="0" customWidth="1"/>
    <x:col min="6" max="6" width="67" hidden="0" customWidth="1"/>
    <x:col min="7" max="7" width="4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8" customHeight="1">
      <x:c r="A2" s="9" t="str">
        <x:v>DIC Board BOM details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26" customHeight="1">
      <x:c r="A4" s="3" t="str">
        <x:v>Quantities are per board. Grouped by value, footprint, manufacturer and exact MPN. Snapshot: September 16, 2026.</x:v>
      </x:c>
      <x:c r="B4" s="3"/>
      <x:c r="C4" s="3"/>
      <x:c r="D4" s="3"/>
      <x:c r="E4" s="3"/>
      <x:c r="F4" s="3"/>
      <x:c r="G4" s="3"/>
    </x:row>
    <x:row r="5" ht="26" customHeight="1">
      <x:c r="A5" s="3" t="str">
        <x:v>Source: current DIC_Board.kicad_sch hierarchy, cross-checked against KiCad 10.0.4 resolved netlist. Schematic fields remain the source of truth.</x:v>
      </x:c>
      <x:c r="B5" s="3"/>
      <x:c r="C5" s="3"/>
      <x:c r="D5" s="3"/>
      <x:c r="E5" s="3"/>
      <x:c r="F5" s="3"/>
      <x:c r="G5" s="3"/>
    </x:row>
    <x:row r="6" ht="26" customHeight="1">
      <x:c r="A6" s="3" t="str">
        <x:v>Supplier numbers and datasheet URLs are copied from schematic fields. Blank fields mean not recorded. Pricing, stock and lifecycle have not been checked.</x:v>
      </x:c>
      <x:c r="B6" s="3"/>
      <x:c r="C6" s="3"/>
      <x:c r="D6" s="3"/>
      <x:c r="E6" s="3"/>
      <x:c r="F6" s="3"/>
      <x:c r="G6" s="3"/>
    </x:row>
    <x:row r="7" ht="26" customHeight="1">
      <x:c r="A7" s="3" t="str">
        <x:v>Assembly scope: board-mounted parts only. Battery, mating housings, contacts, cables, external instruments and mounting hardware require separate purchasing.</x:v>
      </x:c>
      <x:c r="B7" s="3"/>
      <x:c r="C7" s="3"/>
      <x:c r="D7" s="3"/>
      <x:c r="E7" s="3"/>
      <x:c r="F7" s="3"/>
      <x:c r="G7" s="3"/>
    </x:row>
    <x:row r="8">
      <x:c r="A8" s="3"/>
      <x:c r="B8" s="3"/>
      <x:c r="C8" s="3"/>
      <x:c r="D8" s="3"/>
      <x:c r="E8" s="3"/>
      <x:c r="F8" s="3"/>
      <x:c r="G8" s="3"/>
    </x:row>
    <x:row r="9">
      <x:c r="A9" s="3"/>
      <x:c r="B9" s="3" t="str">
        <x:v>BOM line items</x:v>
      </x:c>
      <x:c r="C9" s="4" t="n">
        <x:f>COUNTA(BOM!A2:A92)</x:f>
        <x:v>91</x:v>
      </x:c>
      <x:c r="D9" s="3"/>
      <x:c r="E9" s="3"/>
      <x:c r="F9" s="3"/>
      <x:c r="G9" s="3"/>
    </x:row>
    <x:row r="10">
      <x:c r="A10" s="3"/>
      <x:c r="B10" s="3" t="str">
        <x:v>Fitted components / board</x:v>
      </x:c>
      <x:c r="C10" s="4" t="n">
        <x:f>SUM(BOM!B2:B92)</x:f>
        <x:v>280</x:v>
      </x:c>
      <x:c r="D10" s="3"/>
      <x:c r="E10" s="3"/>
      <x:c r="F10" s="3"/>
      <x:c r="G10" s="3"/>
    </x:row>
    <x:row r="11">
      <x:c r="A11" s="3"/>
      <x:c r="B11" s="3" t="str">
        <x:v>Excluded PCB features</x:v>
      </x:c>
      <x:c r="C11" s="4" t="n">
        <x:v>11</x:v>
      </x:c>
      <x:c r="D11" s="3"/>
      <x:c r="E11" s="3"/>
      <x:c r="F11" s="3"/>
      <x:c r="G11" s="3"/>
    </x:row>
    <x:row r="12">
      <x:c r="A12" s="3"/>
      <x:c r="B12" s="3"/>
      <x:c r="C12" s="3"/>
      <x:c r="D12" s="3"/>
      <x:c r="E12" s="3"/>
      <x:c r="F12" s="3"/>
      <x:c r="G12" s="3"/>
    </x:row>
    <x:row r="13">
      <x:c r="A13" s="3"/>
      <x:c r="B13" s="3"/>
      <x:c r="C13" s="3"/>
      <x:c r="D13" s="3"/>
      <x:c r="E13" s="3"/>
      <x:c r="F13" s="3"/>
      <x:c r="G13" s="3"/>
    </x:row>
    <x:row r="14" ht="32" customHeight="1">
      <x:c r="A14" s="8" t="str">
        <x:v>BOM item</x:v>
      </x:c>
      <x:c r="B14" s="8" t="str">
        <x:v>Value</x:v>
      </x:c>
      <x:c r="C14" s="8" t="str">
        <x:v>KiCad footprint</x:v>
      </x:c>
      <x:c r="D14" s="8" t="str">
        <x:v>DigiKey P/N</x:v>
      </x:c>
      <x:c r="E14" s="8" t="str">
        <x:v>Mouser P/N</x:v>
      </x:c>
      <x:c r="F14" s="8" t="str">
        <x:v>Datasheet URL</x:v>
      </x:c>
      <x:c r="G14" s="8" t="str">
        <x:v>Source schematic</x:v>
      </x:c>
    </x:row>
    <x:row r="15" ht="44" customHeight="1">
      <x:c r="A15" s="3" t="n">
        <x:v>1</x:v>
      </x:c>
      <x:c r="B15" s="5" t="str">
        <x:v>Battery</x:v>
      </x:c>
      <x:c r="C15" s="5" t="str">
        <x:v>DIC_Board:BatteryHolder_Keystone_3013_1x16mm</x:v>
      </x:c>
      <x:c r="D15" s="5" t="str">
        <x:v>36-3013-ND</x:v>
      </x:c>
      <x:c r="E15" s="5" t="str"/>
      <x:c r="F15" s="5" t="str">
        <x:v>https://beta.keyelco.com/userAssets/file/M60p4-6-7.pdf</x:v>
      </x:c>
      <x:c r="G15" s="5" t="str">
        <x:v>mcu.kicad_sch</x:v>
      </x:c>
    </x:row>
    <x:row r="16" ht="44" customHeight="1">
      <x:c r="A16" s="3" t="n">
        <x:v>2</x:v>
      </x:c>
      <x:c r="B16" s="5" t="str">
        <x:v>100nF</x:v>
      </x:c>
      <x:c r="C16" s="5" t="str">
        <x:v>Capacitor_SMD:C_0603_1608Metric</x:v>
      </x:c>
      <x:c r="D16" s="5" t="str"/>
      <x:c r="E16" s="5" t="str"/>
      <x:c r="F16" s="5" t="str">
        <x:v>https://product.tdk.com/info/en/documents/chara_sheet/C1608X7R1H104K080AA.pdf</x:v>
      </x:c>
      <x:c r="G16" s="5" t="str">
        <x:v>12v.kicad_sch; mcu.kicad_sch</x:v>
      </x:c>
    </x:row>
    <x:row r="17" ht="44" customHeight="1">
      <x:c r="A17" s="3" t="n">
        <x:v>3</x:v>
      </x:c>
      <x:c r="B17" s="5" t="str">
        <x:v>4.7uF</x:v>
      </x:c>
      <x:c r="C17" s="5" t="str">
        <x:v>Capacitor_SMD:C_0805_2012Metric</x:v>
      </x:c>
      <x:c r="D17" s="5" t="str"/>
      <x:c r="E17" s="5" t="str"/>
      <x:c r="F17" s="5" t="str"/>
      <x:c r="G17" s="5" t="str">
        <x:v>mcu.kicad_sch</x:v>
      </x:c>
    </x:row>
    <x:row r="18" ht="44" customHeight="1">
      <x:c r="A18" s="3" t="n">
        <x:v>4</x:v>
      </x:c>
      <x:c r="B18" s="5" t="str">
        <x:v>1uF</x:v>
      </x:c>
      <x:c r="C18" s="5" t="str">
        <x:v>Capacitor_SMD:C_0603_1608Metric</x:v>
      </x:c>
      <x:c r="D18" s="5" t="str"/>
      <x:c r="E18" s="5" t="str"/>
      <x:c r="F18" s="5" t="str"/>
      <x:c r="G18" s="5" t="str">
        <x:v>mcu.kicad_sch</x:v>
      </x:c>
    </x:row>
    <x:row r="19" ht="44" customHeight="1">
      <x:c r="A19" s="3" t="n">
        <x:v>5</x:v>
      </x:c>
      <x:c r="B19" s="5" t="str">
        <x:v>10nF</x:v>
      </x:c>
      <x:c r="C19" s="5" t="str">
        <x:v>Capacitor_SMD:C_0603_1608Metric</x:v>
      </x:c>
      <x:c r="D19" s="5" t="str"/>
      <x:c r="E19" s="5" t="str"/>
      <x:c r="F19" s="5" t="str"/>
      <x:c r="G19" s="5" t="str">
        <x:v>Acid_Pump.kicad_sch; mcu.kicad_sch</x:v>
      </x:c>
    </x:row>
    <x:row r="20" ht="44" customHeight="1">
      <x:c r="A20" s="3" t="n">
        <x:v>6</x:v>
      </x:c>
      <x:c r="B20" s="5" t="str">
        <x:v>12pF</x:v>
      </x:c>
      <x:c r="C20" s="5" t="str">
        <x:v>Capacitor_SMD:C_0603_1608Metric</x:v>
      </x:c>
      <x:c r="D20" s="5" t="str"/>
      <x:c r="E20" s="5" t="str"/>
      <x:c r="F20" s="5" t="str"/>
      <x:c r="G20" s="5" t="str">
        <x:v>mcu.kicad_sch</x:v>
      </x:c>
    </x:row>
    <x:row r="21" ht="44" customHeight="1">
      <x:c r="A21" s="3" t="n">
        <x:v>7</x:v>
      </x:c>
      <x:c r="B21" s="5" t="str">
        <x:v>6.8pF</x:v>
      </x:c>
      <x:c r="C21" s="5" t="str">
        <x:v>Capacitor_SMD:C_0402_1005Metric</x:v>
      </x:c>
      <x:c r="D21" s="5" t="str"/>
      <x:c r="E21" s="5" t="str"/>
      <x:c r="F21" s="5" t="str"/>
      <x:c r="G21" s="5" t="str">
        <x:v>mcu.kicad_sch</x:v>
      </x:c>
    </x:row>
    <x:row r="22" ht="44" customHeight="1">
      <x:c r="A22" s="3" t="n">
        <x:v>8</x:v>
      </x:c>
      <x:c r="B22" s="5" t="str">
        <x:v>10uF</x:v>
      </x:c>
      <x:c r="C22" s="5" t="str">
        <x:v>Capacitor_SMD:C_0805_2012Metric</x:v>
      </x:c>
      <x:c r="D22" s="5" t="str"/>
      <x:c r="E22" s="5" t="str"/>
      <x:c r="F22" s="5" t="str"/>
      <x:c r="G22" s="5" t="str">
        <x:v>mcu.kicad_sch</x:v>
      </x:c>
    </x:row>
    <x:row r="23" ht="44" customHeight="1">
      <x:c r="A23" s="3" t="n">
        <x:v>9</x:v>
      </x:c>
      <x:c r="B23" s="5" t="str">
        <x:v>0.1uF</x:v>
      </x:c>
      <x:c r="C23" s="5" t="str">
        <x:v>Capacitor_SMD:C_0603_1608Metric</x:v>
      </x:c>
      <x:c r="D23" s="5" t="str"/>
      <x:c r="E23" s="5" t="str"/>
      <x:c r="F23" s="5" t="str"/>
      <x:c r="G23" s="5" t="str">
        <x:v>12v.kicad_sch; 2v8.kicad_sch; 3v3.kicad_sch; 5v.kicad_sch; 6v6.kicad_sch</x:v>
      </x:c>
    </x:row>
    <x:row r="24" ht="44" customHeight="1">
      <x:c r="A24" s="3" t="n">
        <x:v>10</x:v>
      </x:c>
      <x:c r="B24" s="5" t="str">
        <x:v>100uF</x:v>
      </x:c>
      <x:c r="C24" s="5" t="str">
        <x:v>Capacitor_SMD:CP_Elec_8x10.5</x:v>
      </x:c>
      <x:c r="D24" s="5" t="str"/>
      <x:c r="E24" s="5" t="str"/>
      <x:c r="F24" s="5" t="str"/>
      <x:c r="G24" s="5" t="str">
        <x:v>12v.kicad_sch; Power.kicad_sch</x:v>
      </x:c>
    </x:row>
    <x:row r="25" ht="44" customHeight="1">
      <x:c r="A25" s="3" t="n">
        <x:v>11</x:v>
      </x:c>
      <x:c r="B25" s="5" t="str">
        <x:v>100nF</x:v>
      </x:c>
      <x:c r="C25" s="5" t="str">
        <x:v>Capacitor_SMD:C_0402_1005Metric</x:v>
      </x:c>
      <x:c r="D25" s="5" t="str"/>
      <x:c r="E25" s="5" t="str"/>
      <x:c r="F25" s="5" t="str"/>
      <x:c r="G25" s="5" t="str">
        <x:v>12v.kicad_sch; Air_Pump.kicad_sch; Licor.kicad_sch; Power.kicad_sch; Water_Pump.kicad_sch; actuators.kicad_sch; admont_k96.kicad_sch; auxiliary.kicad_sch; comms.kicad_sch; o2_sensor.kicad_sch</x:v>
      </x:c>
    </x:row>
    <x:row r="26" ht="44" customHeight="1">
      <x:c r="A26" s="3" t="n">
        <x:v>12</x:v>
      </x:c>
      <x:c r="B26" s="5" t="str">
        <x:v>1nF</x:v>
      </x:c>
      <x:c r="C26" s="5" t="str">
        <x:v>Capacitor_SMD:C_0603_1608Metric</x:v>
      </x:c>
      <x:c r="D26" s="5" t="str"/>
      <x:c r="E26" s="5" t="str"/>
      <x:c r="F26" s="5" t="str">
        <x:v>https://product.tdk.com/info/en/documents/chara_sheet/C1608C0G1H471J080AA.pdf</x:v>
      </x:c>
      <x:c r="G26" s="5" t="str">
        <x:v>12v.kicad_sch; Acid_Pump.kicad_sch</x:v>
      </x:c>
    </x:row>
    <x:row r="27" ht="44" customHeight="1">
      <x:c r="A27" s="3" t="n">
        <x:v>13</x:v>
      </x:c>
      <x:c r="B27" s="5" t="str">
        <x:v>10uF</x:v>
      </x:c>
      <x:c r="C27" s="5" t="str">
        <x:v>Capacitor_SMD:C_1206_3216Metric</x:v>
      </x:c>
      <x:c r="D27" s="5" t="str"/>
      <x:c r="E27" s="5" t="str"/>
      <x:c r="F27" s="5" t="str">
        <x:v>https://pim.murata.com/en-us/pim/details/?partNum=GRM31CR71E106KA12L</x:v>
      </x:c>
      <x:c r="G27" s="5" t="str">
        <x:v>12v.kicad_sch</x:v>
      </x:c>
    </x:row>
    <x:row r="28" ht="44" customHeight="1">
      <x:c r="A28" s="3" t="n">
        <x:v>14</x:v>
      </x:c>
      <x:c r="B28" s="5" t="str">
        <x:v>10uF</x:v>
      </x:c>
      <x:c r="C28" s="5" t="str">
        <x:v>Capacitor_SMD:C_1206_3216Metric</x:v>
      </x:c>
      <x:c r="D28" s="5" t="str"/>
      <x:c r="E28" s="5" t="str"/>
      <x:c r="F28" s="5" t="str"/>
      <x:c r="G28" s="5" t="str">
        <x:v>12v.kicad_sch; 2v8.kicad_sch; 3v3.kicad_sch; 5v.kicad_sch; 6v6.kicad_sch; Air_Pump.kicad_sch; Licor.kicad_sch; Water_Pump.kicad_sch; actuators.kicad_sch; admont_k96.kicad_sch; o2_sensor.kicad_sch</x:v>
      </x:c>
    </x:row>
    <x:row r="29" ht="44" customHeight="1">
      <x:c r="A29" s="3" t="n">
        <x:v>15</x:v>
      </x:c>
      <x:c r="B29" s="5" t="str">
        <x:v>22uF</x:v>
      </x:c>
      <x:c r="C29" s="5" t="str">
        <x:v>Capacitor_SMD:C_1210_3225Metric</x:v>
      </x:c>
      <x:c r="D29" s="5" t="str"/>
      <x:c r="E29" s="5" t="str"/>
      <x:c r="F29" s="5" t="str"/>
      <x:c r="G29" s="5" t="str">
        <x:v>12v.kicad_sch</x:v>
      </x:c>
    </x:row>
    <x:row r="30" ht="44" customHeight="1">
      <x:c r="A30" s="3" t="n">
        <x:v>16</x:v>
      </x:c>
      <x:c r="B30" s="5" t="str">
        <x:v>220uF</x:v>
      </x:c>
      <x:c r="C30" s="5" t="str">
        <x:v>Capacitor_SMD:CP_Elec_8x10.5</x:v>
      </x:c>
      <x:c r="D30" s="5" t="str"/>
      <x:c r="E30" s="5" t="str"/>
      <x:c r="F30" s="5" t="str"/>
      <x:c r="G30" s="5" t="str">
        <x:v>12v.kicad_sch</x:v>
      </x:c>
    </x:row>
    <x:row r="31" ht="44" customHeight="1">
      <x:c r="A31" s="3" t="n">
        <x:v>17</x:v>
      </x:c>
      <x:c r="B31" s="5" t="str">
        <x:v>47uF</x:v>
      </x:c>
      <x:c r="C31" s="5" t="str">
        <x:v>Capacitor_SMD:C_1210_3225Metric</x:v>
      </x:c>
      <x:c r="D31" s="5" t="str"/>
      <x:c r="E31" s="5" t="str"/>
      <x:c r="F31" s="5" t="str"/>
      <x:c r="G31" s="5" t="str">
        <x:v>2v8.kicad_sch; 3v3.kicad_sch; 5v.kicad_sch; 6v6.kicad_sch</x:v>
      </x:c>
    </x:row>
    <x:row r="32" ht="44" customHeight="1">
      <x:c r="A32" s="3" t="n">
        <x:v>18</x:v>
      </x:c>
      <x:c r="B32" s="5" t="str">
        <x:v>10nF</x:v>
      </x:c>
      <x:c r="C32" s="5" t="str">
        <x:v>Capacitor_SMD:C_0402_1005Metric</x:v>
      </x:c>
      <x:c r="D32" s="5" t="str"/>
      <x:c r="E32" s="5" t="str"/>
      <x:c r="F32" s="5" t="str"/>
      <x:c r="G32" s="5" t="str">
        <x:v>12v.kicad_sch</x:v>
      </x:c>
    </x:row>
    <x:row r="33" ht="44" customHeight="1">
      <x:c r="A33" s="3" t="n">
        <x:v>19</x:v>
      </x:c>
      <x:c r="B33" s="5" t="str">
        <x:v>0.47uF</x:v>
      </x:c>
      <x:c r="C33" s="5" t="str">
        <x:v>Capacitor_SMD:C_0603_1608Metric_Pad1.08x0.95mm_HandSolder</x:v>
      </x:c>
      <x:c r="D33" s="5" t="str"/>
      <x:c r="E33" s="5" t="str"/>
      <x:c r="F33" s="5" t="str"/>
      <x:c r="G33" s="5" t="str">
        <x:v>Valve_Control_Bank1.kicad_sch; Valve_Control_Bank2.kicad_sch; Valve_Control_Bank3.kicad_sch</x:v>
      </x:c>
    </x:row>
    <x:row r="34" ht="44" customHeight="1">
      <x:c r="A34" s="3" t="n">
        <x:v>20</x:v>
      </x:c>
      <x:c r="B34" s="5" t="str">
        <x:v>0.01uF</x:v>
      </x:c>
      <x:c r="C34" s="5" t="str">
        <x:v>Capacitor_SMD:C_0603_1608Metric_Pad1.08x0.95mm_HandSolder</x:v>
      </x:c>
      <x:c r="D34" s="5" t="str"/>
      <x:c r="E34" s="5" t="str"/>
      <x:c r="F34" s="5" t="str"/>
      <x:c r="G34" s="5" t="str">
        <x:v>Valve_Control_Bank1.kicad_sch; Valve_Control_Bank2.kicad_sch; Valve_Control_Bank3.kicad_sch</x:v>
      </x:c>
    </x:row>
    <x:row r="35" ht="44" customHeight="1">
      <x:c r="A35" s="3" t="n">
        <x:v>21</x:v>
      </x:c>
      <x:c r="B35" s="5" t="str">
        <x:v>0.1uF</x:v>
      </x:c>
      <x:c r="C35" s="5" t="str">
        <x:v>Capacitor_SMD:C_0603_1608Metric_Pad1.08x0.95mm_HandSolder</x:v>
      </x:c>
      <x:c r="D35" s="5" t="str"/>
      <x:c r="E35" s="5" t="str"/>
      <x:c r="F35" s="5" t="str"/>
      <x:c r="G35" s="5" t="str">
        <x:v>Valve_Control_Bank1.kicad_sch; Valve_Control_Bank2.kicad_sch; Valve_Control_Bank3.kicad_sch</x:v>
      </x:c>
    </x:row>
    <x:row r="36" ht="44" customHeight="1">
      <x:c r="A36" s="3" t="n">
        <x:v>22</x:v>
      </x:c>
      <x:c r="B36" s="5" t="str">
        <x:v>100uF</x:v>
      </x:c>
      <x:c r="C36" s="5" t="str">
        <x:v>Capacitor_THT:CP_Radial_D8.0mm_P3.50mm</x:v>
      </x:c>
      <x:c r="D36" s="5" t="str"/>
      <x:c r="E36" s="5" t="str"/>
      <x:c r="F36" s="5" t="str">
        <x:v>https://www.nichicon.com/getmedia/5ee6e3a3-2d90-4858-bed0-89ef58a93bc3/e-uhe.pdf</x:v>
      </x:c>
      <x:c r="G36" s="5" t="str">
        <x:v>Valve_Control_Bank1.kicad_sch; Valve_Control_Bank2.kicad_sch; Valve_Control_Bank3.kicad_sch</x:v>
      </x:c>
    </x:row>
    <x:row r="37" ht="44" customHeight="1">
      <x:c r="A37" s="3" t="n">
        <x:v>23</x:v>
      </x:c>
      <x:c r="B37" s="5" t="str">
        <x:v>22nF</x:v>
      </x:c>
      <x:c r="C37" s="5" t="str">
        <x:v>Capacitor_SMD:C_0402_1005Metric</x:v>
      </x:c>
      <x:c r="D37" s="5" t="str"/>
      <x:c r="E37" s="5" t="str"/>
      <x:c r="F37" s="5" t="str"/>
      <x:c r="G37" s="5" t="str">
        <x:v>Air_Pump.kicad_sch; Licor.kicad_sch; Water_Pump.kicad_sch; actuators.kicad_sch; admont_k96.kicad_sch; o2_sensor.kicad_sch</x:v>
      </x:c>
    </x:row>
    <x:row r="38" ht="44" customHeight="1">
      <x:c r="A38" s="3" t="n">
        <x:v>24</x:v>
      </x:c>
      <x:c r="B38" s="5" t="str">
        <x:v>2.2uF 16V</x:v>
      </x:c>
      <x:c r="C38" s="5" t="str">
        <x:v>Capacitor_SMD:C_0603_1608Metric</x:v>
      </x:c>
      <x:c r="D38" s="5" t="str"/>
      <x:c r="E38" s="5" t="str"/>
      <x:c r="F38" s="5" t="str"/>
      <x:c r="G38" s="5" t="str">
        <x:v>Acid_Pump.kicad_sch</x:v>
      </x:c>
    </x:row>
    <x:row r="39" ht="44" customHeight="1">
      <x:c r="A39" s="3" t="n">
        <x:v>25</x:v>
      </x:c>
      <x:c r="B39" s="5" t="str">
        <x:v>22uF 16V</x:v>
      </x:c>
      <x:c r="C39" s="5" t="str">
        <x:v>Capacitor_SMD:C_1210_3225Metric</x:v>
      </x:c>
      <x:c r="D39" s="5" t="str"/>
      <x:c r="E39" s="5" t="str"/>
      <x:c r="F39" s="5" t="str"/>
      <x:c r="G39" s="5" t="str">
        <x:v>Acid_Pump.kicad_sch</x:v>
      </x:c>
    </x:row>
    <x:row r="40" ht="44" customHeight="1">
      <x:c r="A40" s="3" t="n">
        <x:v>26</x:v>
      </x:c>
      <x:c r="B40" s="5" t="str">
        <x:v>22nF</x:v>
      </x:c>
      <x:c r="C40" s="5" t="str">
        <x:v>Capacitor_SMD:C_0603_1608Metric</x:v>
      </x:c>
      <x:c r="D40" s="5" t="str"/>
      <x:c r="E40" s="5" t="str"/>
      <x:c r="F40" s="5" t="str"/>
      <x:c r="G40" s="5" t="str">
        <x:v>Acid_Pump.kicad_sch</x:v>
      </x:c>
    </x:row>
    <x:row r="41" ht="44" customHeight="1">
      <x:c r="A41" s="3" t="n">
        <x:v>27</x:v>
      </x:c>
      <x:c r="B41" s="5" t="str">
        <x:v>180uF 16V</x:v>
      </x:c>
      <x:c r="C41" s="5" t="str">
        <x:v>Capacitor_SMD:CP_Elec_6.3x5.9</x:v>
      </x:c>
      <x:c r="D41" s="5" t="str"/>
      <x:c r="E41" s="5" t="str"/>
      <x:c r="F41" s="5" t="str">
        <x:v>https://industrial.panasonic.com/cdbs/www-data/pdf/AAB8000/AAB8000COL87.pdf</x:v>
      </x:c>
      <x:c r="G41" s="5" t="str">
        <x:v>2v8.kicad_sch; 3v3.kicad_sch; 5v.kicad_sch; 6v6.kicad_sch</x:v>
      </x:c>
    </x:row>
    <x:row r="42" ht="44" customHeight="1">
      <x:c r="A42" s="3" t="n">
        <x:v>28</x:v>
      </x:c>
      <x:c r="B42" s="5" t="str">
        <x:v>RCLAMP0582B</x:v>
      </x:c>
      <x:c r="C42" s="5" t="str">
        <x:v>Package_TO_SOT_SMD:SOT-523</x:v>
      </x:c>
      <x:c r="D42" s="5" t="str"/>
      <x:c r="E42" s="5" t="str"/>
      <x:c r="F42" s="5" t="str">
        <x:v>https://www.semtech.com/products/circuit-protection/low-capacitance/rclamp0582b</x:v>
      </x:c>
      <x:c r="G42" s="5" t="str">
        <x:v>mcu.kicad_sch</x:v>
      </x:c>
    </x:row>
    <x:row r="43" ht="44" customHeight="1">
      <x:c r="A43" s="3" t="n">
        <x:v>29</x:v>
      </x:c>
      <x:c r="B43" s="5" t="str">
        <x:v>STPS1L40ZF</x:v>
      </x:c>
      <x:c r="C43" s="5" t="str">
        <x:v>Diode_SMD:D_SOD-123F</x:v>
      </x:c>
      <x:c r="D43" s="5" t="str">
        <x:v>497-16916-1-ND</x:v>
      </x:c>
      <x:c r="E43" s="5" t="str"/>
      <x:c r="F43" s="5" t="str">
        <x:v>https://www.st.com/resource/en/datasheet/stps1l40.pdf</x:v>
      </x:c>
      <x:c r="G43" s="5" t="str">
        <x:v>Air_Pump.kicad_sch</x:v>
      </x:c>
    </x:row>
    <x:row r="44" ht="44" customHeight="1">
      <x:c r="A44" s="3" t="n">
        <x:v>30</x:v>
      </x:c>
      <x:c r="B44" s="5" t="str">
        <x:v>STPS3L60U</x:v>
      </x:c>
      <x:c r="C44" s="5" t="str">
        <x:v>Diode_SMD:D_SMB</x:v>
      </x:c>
      <x:c r="D44" s="5" t="str"/>
      <x:c r="E44" s="5" t="str"/>
      <x:c r="F44" s="5" t="str">
        <x:v>https://www.st.com/resource/en/datasheet/stps3l60.pdf</x:v>
      </x:c>
      <x:c r="G44" s="5" t="str">
        <x:v>Water_Pump.kicad_sch</x:v>
      </x:c>
    </x:row>
    <x:row r="45" ht="44" customHeight="1">
      <x:c r="A45" s="3" t="n">
        <x:v>31</x:v>
      </x:c>
      <x:c r="B45" s="5" t="str">
        <x:v>BZT52C8V2-7-F</x:v>
      </x:c>
      <x:c r="C45" s="5" t="str">
        <x:v>Diode_SMD:D_SOD-123</x:v>
      </x:c>
      <x:c r="D45" s="5" t="str"/>
      <x:c r="E45" s="5" t="str"/>
      <x:c r="F45" s="5" t="str">
        <x:v>https://www.diodes.com/datasheet/download/BZT52Cxx.pdf</x:v>
      </x:c>
      <x:c r="G45" s="5" t="str">
        <x:v>auxiliary.kicad_sch</x:v>
      </x:c>
    </x:row>
    <x:row r="46" ht="44" customHeight="1">
      <x:c r="A46" s="3" t="n">
        <x:v>32</x:v>
      </x:c>
      <x:c r="B46" s="5" t="str">
        <x:v>SMBJ18A</x:v>
      </x:c>
      <x:c r="C46" s="5" t="str">
        <x:v>Diode_SMD:D_SMB</x:v>
      </x:c>
      <x:c r="D46" s="5" t="str"/>
      <x:c r="E46" s="5" t="str"/>
      <x:c r="F46" s="5" t="str">
        <x:v>https://www.littelfuse.com/media?resourcetype=datasheets&amp;itemid=8d6ebfcb-84fe-41e5-a1bd-0d9fda5f2f4c&amp;filename=littelfuse-tvs-diode-smbj-datasheet</x:v>
      </x:c>
      <x:c r="G46" s="5" t="str">
        <x:v>Power.kicad_sch</x:v>
      </x:c>
    </x:row>
    <x:row r="47" ht="44" customHeight="1">
      <x:c r="A47" s="3" t="n">
        <x:v>33</x:v>
      </x:c>
      <x:c r="B47" s="5" t="str">
        <x:v>8A</x:v>
      </x:c>
      <x:c r="C47" s="5" t="str">
        <x:v>Fuse:Fuse_Littelfuse-NANO2-451_453</x:v>
      </x:c>
      <x:c r="D47" s="5" t="str"/>
      <x:c r="E47" s="5" t="str"/>
      <x:c r="F47" s="5" t="str"/>
      <x:c r="G47" s="5" t="str">
        <x:v>Power.kicad_sch</x:v>
      </x:c>
    </x:row>
    <x:row r="48" ht="44" customHeight="1">
      <x:c r="A48" s="3" t="n">
        <x:v>34</x:v>
      </x:c>
      <x:c r="B48" s="5" t="str">
        <x:v>600R @ 100MHz</x:v>
      </x:c>
      <x:c r="C48" s="5" t="str">
        <x:v>Inductor_SMD:L_0603_1608Metric</x:v>
      </x:c>
      <x:c r="D48" s="5" t="str"/>
      <x:c r="E48" s="5" t="str"/>
      <x:c r="F48" s="5" t="str"/>
      <x:c r="G48" s="5" t="str">
        <x:v>mcu.kicad_sch</x:v>
      </x:c>
    </x:row>
    <x:row r="49" ht="44" customHeight="1">
      <x:c r="A49" s="3" t="n">
        <x:v>35</x:v>
      </x:c>
      <x:c r="B49" s="5" t="str">
        <x:v>DM3AT-SF-PEJM5</x:v>
      </x:c>
      <x:c r="C49" s="5" t="str">
        <x:v>Connector_Card:microSD_HC_Hirose_DM3AT-SF-PEJM5</x:v>
      </x:c>
      <x:c r="D49" s="5" t="str"/>
      <x:c r="E49" s="5" t="str"/>
      <x:c r="F49" s="5" t="str">
        <x:v>https://www.hirose.com/en/product/document?clcode=CL0609-0031-0-00&amp;documentid=0000947170&amp;documenttype=2DDrawing&amp;lang=en&amp;productname=DM3AT-SF-PEJM5&amp;series=DM3</x:v>
      </x:c>
      <x:c r="G49" s="5" t="str">
        <x:v>mcu.kicad_sch</x:v>
      </x:c>
    </x:row>
    <x:row r="50" ht="44" customHeight="1">
      <x:c r="A50" s="3" t="n">
        <x:v>36</x:v>
      </x:c>
      <x:c r="B50" s="5" t="str">
        <x:v>Conn_ARM_JTAG_SWD_10</x:v>
      </x:c>
      <x:c r="C50" s="5" t="str">
        <x:v>DIC_Board:Wurth_61201021621_2x05_P2.54mm_Vertical</x:v>
      </x:c>
      <x:c r="D50" s="5" t="str">
        <x:v>732-2094-ND</x:v>
      </x:c>
      <x:c r="E50" s="5" t="str"/>
      <x:c r="F50" s="5" t="str">
        <x:v>https://www.we-online.com/components/products/datasheet/61201021621.pdf</x:v>
      </x:c>
      <x:c r="G50" s="5" t="str">
        <x:v>mcu.kicad_sch</x:v>
      </x:c>
    </x:row>
    <x:row r="51" ht="44" customHeight="1">
      <x:c r="A51" s="3" t="n">
        <x:v>37</x:v>
      </x:c>
      <x:c r="B51" s="5" t="str">
        <x:v>0430451200</x:v>
      </x:c>
      <x:c r="C51" s="5" t="str">
        <x:v>DIC_Board:Molex_Micro-Fit_3.0_43045-1200_2x06_P3.00mm_Horizontal</x:v>
      </x:c>
      <x:c r="D51" s="5" t="str">
        <x:v>WM1818-ND</x:v>
      </x:c>
      <x:c r="E51" s="5" t="str"/>
      <x:c r="F51" s="5" t="str">
        <x:v>https://www.molex.com/pdm_docs/sd/430450201_sd.pdf</x:v>
      </x:c>
      <x:c r="G51" s="5" t="str">
        <x:v>Valve_Control.kicad_sch</x:v>
      </x:c>
    </x:row>
    <x:row r="52" ht="44" customHeight="1">
      <x:c r="A52" s="3" t="n">
        <x:v>38</x:v>
      </x:c>
      <x:c r="B52" s="5" t="str">
        <x:v>Conn_01x10</x:v>
      </x:c>
      <x:c r="C52" s="5" t="str">
        <x:v>Connector_Molex:Molex_Micro-Fit_3.0_43045-1000_2x05_P3.00mm_Horizontal</x:v>
      </x:c>
      <x:c r="D52" s="5" t="str"/>
      <x:c r="E52" s="5" t="str"/>
      <x:c r="F52" s="5" t="str"/>
      <x:c r="G52" s="5" t="str">
        <x:v>actuators.kicad_sch</x:v>
      </x:c>
    </x:row>
    <x:row r="53" ht="44" customHeight="1">
      <x:c r="A53" s="3" t="n">
        <x:v>39</x:v>
      </x:c>
      <x:c r="B53" s="5" t="str">
        <x:v>Conn_01x04</x:v>
      </x:c>
      <x:c r="C53" s="5" t="str">
        <x:v>Connector_Molex:Molex_Micro-Fit_3.0_43045-0400_2x02_P3.00mm_Horizontal</x:v>
      </x:c>
      <x:c r="D53" s="5" t="str"/>
      <x:c r="E53" s="5" t="str"/>
      <x:c r="F53" s="5" t="str"/>
      <x:c r="G53" s="5" t="str">
        <x:v>Acid_Pump.kicad_sch; Licor.kicad_sch; admont_k96.kicad_sch; auxiliary.kicad_sch; comms.kicad_sch; o2_sensor.kicad_sch; rh_sensor.kicad_sch</x:v>
      </x:c>
    </x:row>
    <x:row r="54" ht="44" customHeight="1">
      <x:c r="A54" s="3" t="n">
        <x:v>40</x:v>
      </x:c>
      <x:c r="B54" s="5" t="str">
        <x:v>Conn_01x05_Pin</x:v>
      </x:c>
      <x:c r="C54" s="5" t="str">
        <x:v>DIC_Board:PinHeader_Wurth_61300511121_1x05_P2.54mm_Vertical</x:v>
      </x:c>
      <x:c r="D54" s="5" t="str"/>
      <x:c r="E54" s="5" t="str"/>
      <x:c r="F54" s="5" t="str">
        <x:v>https://www.we-online.com/components/products/datasheet/61300511121.pdf</x:v>
      </x:c>
      <x:c r="G54" s="5" t="str">
        <x:v>auxiliary.kicad_sch</x:v>
      </x:c>
    </x:row>
    <x:row r="55" ht="44" customHeight="1">
      <x:c r="A55" s="3" t="n">
        <x:v>41</x:v>
      </x:c>
      <x:c r="B55" s="5" t="str">
        <x:v>0430450200</x:v>
      </x:c>
      <x:c r="C55" s="5" t="str">
        <x:v>Connector_Molex:Molex_Micro-Fit_3.0_43045-0200_2x01_P3.00mm_Horizontal</x:v>
      </x:c>
      <x:c r="D55" s="5" t="str">
        <x:v>WM1813-ND</x:v>
      </x:c>
      <x:c r="E55" s="5" t="str"/>
      <x:c r="F55" s="5" t="str">
        <x:v>https://www.molex.com/content/dam/molex/molex-dot-com/products/automated/en-us/salesdrawingpdf/430/43045/430450200_sd.pdf</x:v>
      </x:c>
      <x:c r="G55" s="5" t="str">
        <x:v>Air_Pump.kicad_sch; Power.kicad_sch; Water_Pump.kicad_sch</x:v>
      </x:c>
    </x:row>
    <x:row r="56" ht="44" customHeight="1">
      <x:c r="A56" s="3" t="n">
        <x:v>42</x:v>
      </x:c>
      <x:c r="B56" s="5" t="str">
        <x:v>Conn_01x03_Pin</x:v>
      </x:c>
      <x:c r="C56" s="5" t="str">
        <x:v>DIC_Board:PinHeader_Wurth_61300311121_1x03_P2.54mm_Vertical</x:v>
      </x:c>
      <x:c r="D56" s="5" t="str"/>
      <x:c r="E56" s="5" t="str"/>
      <x:c r="F56" s="5" t="str">
        <x:v>https://www.we-online.com/components/products/datasheet/61300311121.pdf</x:v>
      </x:c>
      <x:c r="G56" s="5" t="str">
        <x:v>mcu.kicad_sch</x:v>
      </x:c>
    </x:row>
    <x:row r="57" ht="44" customHeight="1">
      <x:c r="A57" s="3" t="n">
        <x:v>43</x:v>
      </x:c>
      <x:c r="B57" s="5" t="str">
        <x:v>4.7uH</x:v>
      </x:c>
      <x:c r="C57" s="5" t="str">
        <x:v>Inductor_SMD:L_Coilcraft_XAL1010-XXX</x:v>
      </x:c>
      <x:c r="D57" s="5" t="str"/>
      <x:c r="E57" s="5" t="str"/>
      <x:c r="F57" s="5" t="str">
        <x:v>https://www.coilcraft.com/getmedia/1bb91f89-c5be-4d5f-9720-411ce5546127/xal1010.pdf</x:v>
      </x:c>
      <x:c r="G57" s="5" t="str">
        <x:v>12v.kicad_sch</x:v>
      </x:c>
    </x:row>
    <x:row r="58" ht="44" customHeight="1">
      <x:c r="A58" s="3" t="n">
        <x:v>44</x:v>
      </x:c>
      <x:c r="B58" s="5" t="str">
        <x:v>USB4105-GF-A</x:v>
      </x:c>
      <x:c r="C58" s="5" t="str">
        <x:v>Connector_USB:USB_C_Receptacle_GCT_USB4105-xx-A_16P_TopMnt_Horizontal</x:v>
      </x:c>
      <x:c r="D58" s="5" t="str">
        <x:v>2073-USB4105-GF-ACT-ND</x:v>
      </x:c>
      <x:c r="E58" s="5" t="str"/>
      <x:c r="F58" s="5" t="str">
        <x:v>https://gct.co/files/drawings/usb4105.pdf</x:v>
      </x:c>
      <x:c r="G58" s="5" t="str">
        <x:v>mcu.kicad_sch</x:v>
      </x:c>
    </x:row>
    <x:row r="59" ht="44" customHeight="1">
      <x:c r="A59" s="3" t="n">
        <x:v>45</x:v>
      </x:c>
      <x:c r="B59" s="5" t="str">
        <x:v>AO4630</x:v>
      </x:c>
      <x:c r="C59" s="5" t="str">
        <x:v>Package_SO:SOIC-8_3.9x4.9mm_P1.27mm</x:v>
      </x:c>
      <x:c r="D59" s="5" t="str"/>
      <x:c r="E59" s="5" t="str"/>
      <x:c r="F59" s="5" t="str">
        <x:v>https://www.aosmd.com/res/datasheets/AO4630.pdf</x:v>
      </x:c>
      <x:c r="G59" s="5" t="str">
        <x:v>auxiliary.kicad_sch</x:v>
      </x:c>
    </x:row>
    <x:row r="60" ht="44" customHeight="1">
      <x:c r="A60" s="3" t="n">
        <x:v>46</x:v>
      </x:c>
      <x:c r="B60" s="5" t="str">
        <x:v>47k</x:v>
      </x:c>
      <x:c r="C60" s="5" t="str">
        <x:v>Resistor_SMD:R_0603_1608Metric</x:v>
      </x:c>
      <x:c r="D60" s="5" t="str"/>
      <x:c r="E60" s="5" t="str"/>
      <x:c r="F60" s="5" t="str"/>
      <x:c r="G60" s="5" t="str">
        <x:v>Acid_Pump.kicad_sch; mcu.kicad_sch</x:v>
      </x:c>
    </x:row>
    <x:row r="61" ht="44" customHeight="1">
      <x:c r="A61" s="3" t="n">
        <x:v>47</x:v>
      </x:c>
      <x:c r="B61" s="5" t="str">
        <x:v>10k</x:v>
      </x:c>
      <x:c r="C61" s="5" t="str">
        <x:v>Resistor_SMD:R_0603_1608Metric</x:v>
      </x:c>
      <x:c r="D61" s="5" t="str"/>
      <x:c r="E61" s="5" t="str"/>
      <x:c r="F61" s="5" t="str"/>
      <x:c r="G61" s="5" t="str">
        <x:v>mcu.kicad_sch</x:v>
      </x:c>
    </x:row>
    <x:row r="62" ht="44" customHeight="1">
      <x:c r="A62" s="3" t="n">
        <x:v>48</x:v>
      </x:c>
      <x:c r="B62" s="5" t="str">
        <x:v>470R</x:v>
      </x:c>
      <x:c r="C62" s="5" t="str">
        <x:v>Resistor_SMD:R_0603_1608Metric</x:v>
      </x:c>
      <x:c r="D62" s="5" t="str"/>
      <x:c r="E62" s="5" t="str"/>
      <x:c r="F62" s="5" t="str"/>
      <x:c r="G62" s="5" t="str">
        <x:v>mcu.kicad_sch</x:v>
      </x:c>
    </x:row>
    <x:row r="63" ht="44" customHeight="1">
      <x:c r="A63" s="3" t="n">
        <x:v>49</x:v>
      </x:c>
      <x:c r="B63" s="5" t="str">
        <x:v>0R</x:v>
      </x:c>
      <x:c r="C63" s="5" t="str">
        <x:v>Resistor_SMD:R_0603_1608Metric</x:v>
      </x:c>
      <x:c r="D63" s="5" t="str"/>
      <x:c r="E63" s="5" t="str"/>
      <x:c r="F63" s="5" t="str"/>
      <x:c r="G63" s="5" t="str">
        <x:v>mcu.kicad_sch</x:v>
      </x:c>
    </x:row>
    <x:row r="64" ht="44" customHeight="1">
      <x:c r="A64" s="3" t="n">
        <x:v>50</x:v>
      </x:c>
      <x:c r="B64" s="5" t="str">
        <x:v>33R</x:v>
      </x:c>
      <x:c r="C64" s="5" t="str">
        <x:v>Resistor_SMD:R_0603_1608Metric</x:v>
      </x:c>
      <x:c r="D64" s="5" t="str"/>
      <x:c r="E64" s="5" t="str"/>
      <x:c r="F64" s="5" t="str"/>
      <x:c r="G64" s="5" t="str">
        <x:v>mcu.kicad_sch</x:v>
      </x:c>
    </x:row>
    <x:row r="65" ht="44" customHeight="1">
      <x:c r="A65" s="3" t="n">
        <x:v>51</x:v>
      </x:c>
      <x:c r="B65" s="5" t="str">
        <x:v>47K</x:v>
      </x:c>
      <x:c r="C65" s="5" t="str">
        <x:v>Resistor_SMD:R_0603_1608Metric</x:v>
      </x:c>
      <x:c r="D65" s="5" t="str"/>
      <x:c r="E65" s="5" t="str"/>
      <x:c r="F65" s="5" t="str"/>
      <x:c r="G65" s="5" t="str">
        <x:v>mcu.kicad_sch</x:v>
      </x:c>
    </x:row>
    <x:row r="66" ht="44" customHeight="1">
      <x:c r="A66" s="3" t="n">
        <x:v>52</x:v>
      </x:c>
      <x:c r="B66" s="5" t="str">
        <x:v>22R</x:v>
      </x:c>
      <x:c r="C66" s="5" t="str">
        <x:v>Resistor_SMD:R_0603_1608Metric</x:v>
      </x:c>
      <x:c r="D66" s="5" t="str"/>
      <x:c r="E66" s="5" t="str"/>
      <x:c r="F66" s="5" t="str"/>
      <x:c r="G66" s="5" t="str">
        <x:v>mcu.kicad_sch</x:v>
      </x:c>
    </x:row>
    <x:row r="67" ht="44" customHeight="1">
      <x:c r="A67" s="3" t="n">
        <x:v>53</x:v>
      </x:c>
      <x:c r="B67" s="5" t="str">
        <x:v>100k</x:v>
      </x:c>
      <x:c r="C67" s="5" t="str">
        <x:v>Resistor_SMD:R_0402_1005Metric</x:v>
      </x:c>
      <x:c r="D67" s="5" t="str"/>
      <x:c r="E67" s="5" t="str"/>
      <x:c r="F67" s="5" t="str"/>
      <x:c r="G67" s="5" t="str">
        <x:v>12v.kicad_sch; 2v8.kicad_sch; 5v.kicad_sch; 6v6.kicad_sch</x:v>
      </x:c>
    </x:row>
    <x:row r="68" ht="44" customHeight="1">
      <x:c r="A68" s="3" t="n">
        <x:v>54</x:v>
      </x:c>
      <x:c r="B68" s="5" t="str">
        <x:v>33k</x:v>
      </x:c>
      <x:c r="C68" s="5" t="str">
        <x:v>Resistor_SMD:R_0402_1005Metric</x:v>
      </x:c>
      <x:c r="D68" s="5" t="str"/>
      <x:c r="E68" s="5" t="str"/>
      <x:c r="F68" s="5" t="str"/>
      <x:c r="G68" s="5" t="str">
        <x:v>mcu.kicad_sch</x:v>
      </x:c>
    </x:row>
    <x:row r="69" ht="44" customHeight="1">
      <x:c r="A69" s="3" t="n">
        <x:v>55</x:v>
      </x:c>
      <x:c r="B69" s="5" t="str">
        <x:v>82k</x:v>
      </x:c>
      <x:c r="C69" s="5" t="str">
        <x:v>Resistor_SMD:R_0402_1005Metric</x:v>
      </x:c>
      <x:c r="D69" s="5" t="str"/>
      <x:c r="E69" s="5" t="str"/>
      <x:c r="F69" s="5" t="str"/>
      <x:c r="G69" s="5" t="str">
        <x:v>mcu.kicad_sch</x:v>
      </x:c>
    </x:row>
    <x:row r="70" ht="44" customHeight="1">
      <x:c r="A70" s="3" t="n">
        <x:v>56</x:v>
      </x:c>
      <x:c r="B70" s="5" t="str">
        <x:v>5.1k</x:v>
      </x:c>
      <x:c r="C70" s="5" t="str">
        <x:v>Resistor_SMD:R_0402_1005Metric</x:v>
      </x:c>
      <x:c r="D70" s="5" t="str"/>
      <x:c r="E70" s="5" t="str"/>
      <x:c r="F70" s="5" t="str"/>
      <x:c r="G70" s="5" t="str">
        <x:v>mcu.kicad_sch</x:v>
      </x:c>
    </x:row>
    <x:row r="71" ht="44" customHeight="1">
      <x:c r="A71" s="3" t="n">
        <x:v>57</x:v>
      </x:c>
      <x:c r="B71" s="5" t="str">
        <x:v>150k</x:v>
      </x:c>
      <x:c r="C71" s="5" t="str">
        <x:v>Resistor_SMD:R_0402_1005Metric</x:v>
      </x:c>
      <x:c r="D71" s="5" t="str"/>
      <x:c r="E71" s="5" t="str"/>
      <x:c r="F71" s="5" t="str"/>
      <x:c r="G71" s="5" t="str">
        <x:v>12v.kicad_sch</x:v>
      </x:c>
    </x:row>
    <x:row r="72" ht="44" customHeight="1">
      <x:c r="A72" s="3" t="n">
        <x:v>58</x:v>
      </x:c>
      <x:c r="B72" s="5" t="str">
        <x:v>24.9k</x:v>
      </x:c>
      <x:c r="C72" s="5" t="str">
        <x:v>Resistor_SMD:R_0402_1005Metric</x:v>
      </x:c>
      <x:c r="D72" s="5" t="str"/>
      <x:c r="E72" s="5" t="str"/>
      <x:c r="F72" s="5" t="str"/>
      <x:c r="G72" s="5" t="str">
        <x:v>12v.kicad_sch</x:v>
      </x:c>
    </x:row>
    <x:row r="73" ht="44" customHeight="1">
      <x:c r="A73" s="3" t="n">
        <x:v>59</x:v>
      </x:c>
      <x:c r="B73" s="5" t="str">
        <x:v>49.9k</x:v>
      </x:c>
      <x:c r="C73" s="5" t="str">
        <x:v>Resistor_SMD:R_0402_1005Metric</x:v>
      </x:c>
      <x:c r="D73" s="5" t="str"/>
      <x:c r="E73" s="5" t="str"/>
      <x:c r="F73" s="5" t="str"/>
      <x:c r="G73" s="5" t="str">
        <x:v>12v.kicad_sch</x:v>
      </x:c>
    </x:row>
    <x:row r="74" ht="44" customHeight="1">
      <x:c r="A74" s="3" t="n">
        <x:v>60</x:v>
      </x:c>
      <x:c r="B74" s="5" t="str">
        <x:v>10m</x:v>
      </x:c>
      <x:c r="C74" s="5" t="str">
        <x:v>Resistor_SMD:R_2512_6332Metric</x:v>
      </x:c>
      <x:c r="D74" s="5" t="str"/>
      <x:c r="E74" s="5" t="str"/>
      <x:c r="F74" s="5" t="str">
        <x:v>https://www.vishay.com/docs/30100/wsl.pdf</x:v>
      </x:c>
      <x:c r="G74" s="5" t="str">
        <x:v>12v.kicad_sch</x:v>
      </x:c>
    </x:row>
    <x:row r="75" ht="44" customHeight="1">
      <x:c r="A75" s="3" t="n">
        <x:v>61</x:v>
      </x:c>
      <x:c r="B75" s="5" t="str">
        <x:v>11.1k</x:v>
      </x:c>
      <x:c r="C75" s="5" t="str">
        <x:v>Resistor_SMD:R_0402_1005Metric</x:v>
      </x:c>
      <x:c r="D75" s="5" t="str"/>
      <x:c r="E75" s="5" t="str"/>
      <x:c r="F75" s="5" t="str"/>
      <x:c r="G75" s="5" t="str">
        <x:v>12v.kicad_sch</x:v>
      </x:c>
    </x:row>
    <x:row r="76" ht="44" customHeight="1">
      <x:c r="A76" s="3" t="n">
        <x:v>62</x:v>
      </x:c>
      <x:c r="B76" s="5" t="str">
        <x:v>10k</x:v>
      </x:c>
      <x:c r="C76" s="5" t="str">
        <x:v>Resistor_SMD:R_0402_1005Metric</x:v>
      </x:c>
      <x:c r="D76" s="5" t="str"/>
      <x:c r="E76" s="5" t="str"/>
      <x:c r="F76" s="5" t="str"/>
      <x:c r="G76" s="5" t="str">
        <x:v>12v.kicad_sch; 2v8.kicad_sch; 3v3.kicad_sch; 5v.kicad_sch; 6v6.kicad_sch</x:v>
      </x:c>
    </x:row>
    <x:row r="77" ht="44" customHeight="1">
      <x:c r="A77" s="3" t="n">
        <x:v>63</x:v>
      </x:c>
      <x:c r="B77" s="5" t="str">
        <x:v>4.32k</x:v>
      </x:c>
      <x:c r="C77" s="5" t="str">
        <x:v>Resistor_SMD:R_0402_1005Metric</x:v>
      </x:c>
      <x:c r="D77" s="5" t="str"/>
      <x:c r="E77" s="5" t="str"/>
      <x:c r="F77" s="5" t="str"/>
      <x:c r="G77" s="5" t="str">
        <x:v>3v3.kicad_sch</x:v>
      </x:c>
    </x:row>
    <x:row r="78" ht="44" customHeight="1">
      <x:c r="A78" s="3" t="n">
        <x:v>64</x:v>
      </x:c>
      <x:c r="B78" s="5" t="str">
        <x:v>2.49k</x:v>
      </x:c>
      <x:c r="C78" s="5" t="str">
        <x:v>Resistor_SMD:R_0402_1005Metric</x:v>
      </x:c>
      <x:c r="D78" s="5" t="str"/>
      <x:c r="E78" s="5" t="str"/>
      <x:c r="F78" s="5" t="str"/>
      <x:c r="G78" s="5" t="str">
        <x:v>5v.kicad_sch</x:v>
      </x:c>
    </x:row>
    <x:row r="79" ht="44" customHeight="1">
      <x:c r="A79" s="3" t="n">
        <x:v>65</x:v>
      </x:c>
      <x:c r="B79" s="5" t="str">
        <x:v>1.78k</x:v>
      </x:c>
      <x:c r="C79" s="5" t="str">
        <x:v>Resistor_SMD:R_0402_1005Metric</x:v>
      </x:c>
      <x:c r="D79" s="5" t="str"/>
      <x:c r="E79" s="5" t="str"/>
      <x:c r="F79" s="5" t="str"/>
      <x:c r="G79" s="5" t="str">
        <x:v>6v6.kicad_sch</x:v>
      </x:c>
    </x:row>
    <x:row r="80" ht="44" customHeight="1">
      <x:c r="A80" s="3" t="n">
        <x:v>66</x:v>
      </x:c>
      <x:c r="B80" s="5" t="str">
        <x:v>5.56k</x:v>
      </x:c>
      <x:c r="C80" s="5" t="str">
        <x:v>Resistor_SMD:R_0402_1005Metric</x:v>
      </x:c>
      <x:c r="D80" s="5" t="str"/>
      <x:c r="E80" s="5" t="str"/>
      <x:c r="F80" s="5" t="str"/>
      <x:c r="G80" s="5" t="str">
        <x:v>2v8.kicad_sch</x:v>
      </x:c>
    </x:row>
    <x:row r="81" ht="44" customHeight="1">
      <x:c r="A81" s="3" t="n">
        <x:v>67</x:v>
      </x:c>
      <x:c r="B81" s="5" t="str">
        <x:v>100k</x:v>
      </x:c>
      <x:c r="C81" s="5" t="str">
        <x:v>Resistor_SMD:R_0402_1005Metric</x:v>
      </x:c>
      <x:c r="D81" s="5" t="str"/>
      <x:c r="E81" s="5" t="str"/>
      <x:c r="F81" s="5" t="str"/>
      <x:c r="G81" s="5" t="str">
        <x:v>Air_Pump.kicad_sch; Licor.kicad_sch; Water_Pump.kicad_sch; actuators.kicad_sch; admont_k96.kicad_sch; auxiliary.kicad_sch; o2_sensor.kicad_sch</x:v>
      </x:c>
    </x:row>
    <x:row r="82" ht="44" customHeight="1">
      <x:c r="A82" s="3" t="n">
        <x:v>68</x:v>
      </x:c>
      <x:c r="B82" s="5" t="str">
        <x:v>1.00k</x:v>
      </x:c>
      <x:c r="C82" s="5" t="str">
        <x:v>Resistor_SMD:R_0402_1005Metric</x:v>
      </x:c>
      <x:c r="D82" s="5" t="str"/>
      <x:c r="E82" s="5" t="str"/>
      <x:c r="F82" s="5" t="str"/>
      <x:c r="G82" s="5" t="str">
        <x:v>Air_Pump.kicad_sch; Licor.kicad_sch; Water_Pump.kicad_sch; actuators.kicad_sch; admont_k96.kicad_sch; o2_sensor.kicad_sch</x:v>
      </x:c>
    </x:row>
    <x:row r="83" ht="44" customHeight="1">
      <x:c r="A83" s="3" t="n">
        <x:v>69</x:v>
      </x:c>
      <x:c r="B83" s="5" t="str">
        <x:v>15k</x:v>
      </x:c>
      <x:c r="C83" s="5" t="str">
        <x:v>Resistor_SMD:R_0402_1005Metric</x:v>
      </x:c>
      <x:c r="D83" s="5" t="str"/>
      <x:c r="E83" s="5" t="str"/>
      <x:c r="F83" s="5" t="str"/>
      <x:c r="G83" s="5" t="str">
        <x:v>actuators.kicad_sch; admont_k96.kicad_sch; o2_sensor.kicad_sch</x:v>
      </x:c>
    </x:row>
    <x:row r="84" ht="44" customHeight="1">
      <x:c r="A84" s="3" t="n">
        <x:v>70</x:v>
      </x:c>
      <x:c r="B84" s="5" t="str">
        <x:v>3.3R</x:v>
      </x:c>
      <x:c r="C84" s="5" t="str">
        <x:v>Resistor_SMD:R_0402_1005Metric</x:v>
      </x:c>
      <x:c r="D84" s="5" t="str"/>
      <x:c r="E84" s="5" t="str"/>
      <x:c r="F84" s="5" t="str"/>
      <x:c r="G84" s="5" t="str">
        <x:v>Valve_Control_Bank1.kicad_sch; Valve_Control_Bank2.kicad_sch; Valve_Control_Bank3.kicad_sch</x:v>
      </x:c>
    </x:row>
    <x:row r="85" ht="44" customHeight="1">
      <x:c r="A85" s="3" t="n">
        <x:v>71</x:v>
      </x:c>
      <x:c r="B85" s="5" t="str">
        <x:v>2.00R 1%</x:v>
      </x:c>
      <x:c r="C85" s="5" t="str">
        <x:v>Resistor_SMD:R_1206_3216Metric</x:v>
      </x:c>
      <x:c r="D85" s="5" t="str"/>
      <x:c r="E85" s="5" t="str"/>
      <x:c r="F85" s="5" t="str"/>
      <x:c r="G85" s="5" t="str">
        <x:v>Acid_Pump.kicad_sch</x:v>
      </x:c>
    </x:row>
    <x:row r="86" ht="44" customHeight="1">
      <x:c r="A86" s="3" t="n">
        <x:v>72</x:v>
      </x:c>
      <x:c r="B86" s="5" t="str">
        <x:v>20k</x:v>
      </x:c>
      <x:c r="C86" s="5" t="str">
        <x:v>Resistor_SMD:R_0603_1608Metric</x:v>
      </x:c>
      <x:c r="D86" s="5" t="str"/>
      <x:c r="E86" s="5" t="str"/>
      <x:c r="F86" s="5" t="str"/>
      <x:c r="G86" s="5" t="str">
        <x:v>Acid_Pump.kicad_sch</x:v>
      </x:c>
    </x:row>
    <x:row r="87" ht="44" customHeight="1">
      <x:c r="A87" s="3" t="n">
        <x:v>73</x:v>
      </x:c>
      <x:c r="B87" s="5" t="str">
        <x:v>1k</x:v>
      </x:c>
      <x:c r="C87" s="5" t="str">
        <x:v>Resistor_SMD:R_0603_1608Metric</x:v>
      </x:c>
      <x:c r="D87" s="5" t="str"/>
      <x:c r="E87" s="5" t="str"/>
      <x:c r="F87" s="5" t="str"/>
      <x:c r="G87" s="5" t="str">
        <x:v>Acid_Pump.kicad_sch</x:v>
      </x:c>
    </x:row>
    <x:row r="88" ht="44" customHeight="1">
      <x:c r="A88" s="3" t="n">
        <x:v>74</x:v>
      </x:c>
      <x:c r="B88" s="5" t="str">
        <x:v>2.87k</x:v>
      </x:c>
      <x:c r="C88" s="5" t="str">
        <x:v>Resistor_SMD:R_0603_1608Metric</x:v>
      </x:c>
      <x:c r="D88" s="5" t="str"/>
      <x:c r="E88" s="5" t="str"/>
      <x:c r="F88" s="5" t="str"/>
      <x:c r="G88" s="5" t="str">
        <x:v>Acid_Pump.kicad_sch</x:v>
      </x:c>
    </x:row>
    <x:row r="89" ht="44" customHeight="1">
      <x:c r="A89" s="3" t="n">
        <x:v>75</x:v>
      </x:c>
      <x:c r="B89" s="5" t="str">
        <x:v>487R</x:v>
      </x:c>
      <x:c r="C89" s="5" t="str">
        <x:v>Resistor_SMD:R_0603_1608Metric</x:v>
      </x:c>
      <x:c r="D89" s="5" t="str"/>
      <x:c r="E89" s="5" t="str"/>
      <x:c r="F89" s="5" t="str"/>
      <x:c r="G89" s="5" t="str">
        <x:v>Acid_Pump.kicad_sch</x:v>
      </x:c>
    </x:row>
    <x:row r="90" ht="44" customHeight="1">
      <x:c r="A90" s="3" t="n">
        <x:v>76</x:v>
      </x:c>
      <x:c r="B90" s="5" t="str">
        <x:v>4.7k</x:v>
      </x:c>
      <x:c r="C90" s="5" t="str">
        <x:v>Resistor_SMD:R_0603_1608Metric</x:v>
      </x:c>
      <x:c r="D90" s="5" t="str"/>
      <x:c r="E90" s="5" t="str"/>
      <x:c r="F90" s="5" t="str"/>
      <x:c r="G90" s="5" t="str">
        <x:v>rh_sensor.kicad_sch</x:v>
      </x:c>
    </x:row>
    <x:row r="91" ht="44" customHeight="1">
      <x:c r="A91" s="3" t="n">
        <x:v>77</x:v>
      </x:c>
      <x:c r="B91" s="5" t="str">
        <x:v>4.7k</x:v>
      </x:c>
      <x:c r="C91" s="5" t="str">
        <x:v>Resistor_SMD:R_0402_1005Metric</x:v>
      </x:c>
      <x:c r="D91" s="5" t="str"/>
      <x:c r="E91" s="5" t="str"/>
      <x:c r="F91" s="5" t="str"/>
      <x:c r="G91" s="5" t="str">
        <x:v>auxiliary.kicad_sch</x:v>
      </x:c>
    </x:row>
    <x:row r="92" ht="44" customHeight="1">
      <x:c r="A92" s="3" t="n">
        <x:v>78</x:v>
      </x:c>
      <x:c r="B92" s="5" t="str">
        <x:v>100k</x:v>
      </x:c>
      <x:c r="C92" s="5" t="str">
        <x:v>Resistor_SMD:R_0603_1608Metric</x:v>
      </x:c>
      <x:c r="D92" s="5" t="str"/>
      <x:c r="E92" s="5" t="str"/>
      <x:c r="F92" s="5" t="str"/>
      <x:c r="G92" s="5" t="str">
        <x:v>comms.kicad_sch; mcu.kicad_sch</x:v>
      </x:c>
    </x:row>
    <x:row r="93" ht="44" customHeight="1">
      <x:c r="A93" s="3" t="n">
        <x:v>79</x:v>
      </x:c>
      <x:c r="B93" s="5" t="str">
        <x:v>10k trim</x:v>
      </x:c>
      <x:c r="C93" s="5" t="str">
        <x:v>Potentiometer_SMD:Potentiometer_Bourns_3314J_Vertical</x:v>
      </x:c>
      <x:c r="D93" s="5" t="str"/>
      <x:c r="E93" s="5" t="str"/>
      <x:c r="F93" s="5" t="str">
        <x:v>https://www.bourns.com/docs/product-datasheets/3314.pdf</x:v>
      </x:c>
      <x:c r="G93" s="5" t="str">
        <x:v>Acid_Pump.kicad_sch</x:v>
      </x:c>
    </x:row>
    <x:row r="94" ht="44" customHeight="1">
      <x:c r="A94" s="3" t="n">
        <x:v>80</x:v>
      </x:c>
      <x:c r="B94" s="5" t="str">
        <x:v>SW_Push</x:v>
      </x:c>
      <x:c r="C94" s="5" t="str">
        <x:v>DIC_Board:SW_ESwitch_TL6330AF200Q</x:v>
      </x:c>
      <x:c r="D94" s="5" t="str"/>
      <x:c r="E94" s="5" t="str"/>
      <x:c r="F94" s="5" t="str">
        <x:v>https://configured-product-images.s3.amazonaws.com/2D/specs/TL6330AF200Q.pdf</x:v>
      </x:c>
      <x:c r="G94" s="5" t="str">
        <x:v>mcu.kicad_sch</x:v>
      </x:c>
    </x:row>
    <x:row r="95" ht="44" customHeight="1">
      <x:c r="A95" s="3" t="n">
        <x:v>81</x:v>
      </x:c>
      <x:c r="B95" s="5" t="str">
        <x:v>STM32L476ZGTx</x:v>
      </x:c>
      <x:c r="C95" s="5" t="str">
        <x:v>Package_QFP:LQFP-144_20x20mm_P0.5mm</x:v>
      </x:c>
      <x:c r="D95" s="5" t="str"/>
      <x:c r="E95" s="5" t="str"/>
      <x:c r="F95" s="5" t="str">
        <x:v>https://www.st.com/resource/en/datasheet/stm32l476zg.pdf</x:v>
      </x:c>
      <x:c r="G95" s="5" t="str">
        <x:v>mcu.kicad_sch</x:v>
      </x:c>
    </x:row>
    <x:row r="96" ht="44" customHeight="1">
      <x:c r="A96" s="3" t="n">
        <x:v>82</x:v>
      </x:c>
      <x:c r="B96" s="5" t="str">
        <x:v>AB-RTCMC-32.768kHz-EOA9-S3</x:v>
      </x:c>
      <x:c r="C96" s="5" t="str">
        <x:v>Package_SON:RTC_SMD_MicroCrystal_C3_2.5x3.7mm</x:v>
      </x:c>
      <x:c r="D96" s="5" t="str"/>
      <x:c r="E96" s="5" t="str"/>
      <x:c r="F96" s="5" t="str">
        <x:v>https://abracon.com/realtimeclock/AB-RTCMC-32.768kHz-EOA9-S3.pdf</x:v>
      </x:c>
      <x:c r="G96" s="5" t="str">
        <x:v>mcu.kicad_sch</x:v>
      </x:c>
    </x:row>
    <x:row r="97" ht="44" customHeight="1">
      <x:c r="A97" s="3" t="n">
        <x:v>83</x:v>
      </x:c>
      <x:c r="B97" s="5" t="str">
        <x:v>APS6404L-3SQRX-SN</x:v>
      </x:c>
      <x:c r="C97" s="5" t="str">
        <x:v>Package_SO:SOIC-8_3.9x4.9mm_P1.27mm</x:v>
      </x:c>
      <x:c r="D97" s="5" t="str"/>
      <x:c r="E97" s="5" t="str">
        <x:v>878-APS6404L-3SQRXSN</x:v>
      </x:c>
      <x:c r="F97" s="5" t="str">
        <x:v>https://www.apmemory.com/wp-content/uploads/APM_PSRAM_E3_QSPI-APS6404L-3SQR-v2.4-KGD_PKG.pdf</x:v>
      </x:c>
      <x:c r="G97" s="5" t="str">
        <x:v>mcu.kicad_sch</x:v>
      </x:c>
    </x:row>
    <x:row r="98" ht="44" customHeight="1">
      <x:c r="A98" s="3" t="n">
        <x:v>84</x:v>
      </x:c>
      <x:c r="B98" s="5" t="str">
        <x:v>TPS552892RYQR</x:v>
      </x:c>
      <x:c r="C98" s="5" t="str">
        <x:v>DIC_Board:Texas_RYQ0021A_TPS552892</x:v>
      </x:c>
      <x:c r="D98" s="5" t="str"/>
      <x:c r="E98" s="5" t="str"/>
      <x:c r="F98" s="5" t="str">
        <x:v>https://www.ti.com/lit/ds/symlink/tps552892.pdf</x:v>
      </x:c>
      <x:c r="G98" s="5" t="str">
        <x:v>12v.kicad_sch</x:v>
      </x:c>
    </x:row>
    <x:row r="99" ht="44" customHeight="1">
      <x:c r="A99" s="3" t="n">
        <x:v>85</x:v>
      </x:c>
      <x:c r="B99" s="5" t="str">
        <x:v>TPSM53603RDAR</x:v>
      </x:c>
      <x:c r="C99" s="5" t="str">
        <x:v>Package_DFN_QFN:Texas_B3QFN-14-1EP_5x5.5mm_P0.65mm_ThermalVia</x:v>
      </x:c>
      <x:c r="D99" s="5" t="str"/>
      <x:c r="E99" s="5" t="str"/>
      <x:c r="F99" s="5" t="str">
        <x:v>https://www.ti.com/lit/ds/symlink/tpsm53603.pdf</x:v>
      </x:c>
      <x:c r="G99" s="5" t="str">
        <x:v>2v8.kicad_sch; 3v3.kicad_sch; 5v.kicad_sch; 6v6.kicad_sch</x:v>
      </x:c>
    </x:row>
    <x:row r="100" ht="44" customHeight="1">
      <x:c r="A100" s="3" t="n">
        <x:v>86</x:v>
      </x:c>
      <x:c r="B100" s="5" t="str">
        <x:v>DRV8823QDCARQ1</x:v>
      </x:c>
      <x:c r="C100" s="5" t="str">
        <x:v>DIC_Board:DRV8823_DCA48_ReviewFixed</x:v>
      </x:c>
      <x:c r="D100" s="5" t="str"/>
      <x:c r="E100" s="5" t="str"/>
      <x:c r="F100" s="5" t="str">
        <x:v>https://www.ti.com/lit/ds/symlink/drv8823-q1.pdf</x:v>
      </x:c>
      <x:c r="G100" s="5" t="str">
        <x:v>Valve_Control_Bank1.kicad_sch; Valve_Control_Bank2.kicad_sch; Valve_Control_Bank3.kicad_sch</x:v>
      </x:c>
    </x:row>
    <x:row r="101" ht="44" customHeight="1">
      <x:c r="A101" s="3" t="n">
        <x:v>87</x:v>
      </x:c>
      <x:c r="B101" s="5" t="str">
        <x:v>TPS27S100APWPR</x:v>
      </x:c>
      <x:c r="C101" s="5" t="str">
        <x:v>Package_SO:Texas_HTSSOP-14-1EP_4.4x5mm_P0.65mm_EP3.4x5mm_Mask3.155x3.255mm_ThermalVias</x:v>
      </x:c>
      <x:c r="D101" s="5" t="str">
        <x:v>296-49002-1-ND</x:v>
      </x:c>
      <x:c r="E101" s="5" t="str"/>
      <x:c r="F101" s="5" t="str">
        <x:v>https://www.ti.com/lit/ds/symlink/tps27s100.pdf</x:v>
      </x:c>
      <x:c r="G101" s="5" t="str">
        <x:v>Air_Pump.kicad_sch; Licor.kicad_sch; Water_Pump.kicad_sch; actuators.kicad_sch; admont_k96.kicad_sch; o2_sensor.kicad_sch</x:v>
      </x:c>
    </x:row>
    <x:row r="102" ht="44" customHeight="1">
      <x:c r="A102" s="3" t="n">
        <x:v>88</x:v>
      </x:c>
      <x:c r="B102" s="5" t="str">
        <x:v>STSPIN220</x:v>
      </x:c>
      <x:c r="C102" s="5" t="str">
        <x:v>Package_DFN_QFN:VQFN-16-1EP_3x3mm_P0.5mm_EP1.8x1.8mm</x:v>
      </x:c>
      <x:c r="D102" s="5" t="str"/>
      <x:c r="E102" s="5" t="str"/>
      <x:c r="F102" s="5" t="str">
        <x:v>https://www.st.com/resource/en/datasheet/stspin220.pdf</x:v>
      </x:c>
      <x:c r="G102" s="5" t="str">
        <x:v>Acid_Pump.kicad_sch</x:v>
      </x:c>
    </x:row>
    <x:row r="103" ht="44" customHeight="1">
      <x:c r="A103" s="3" t="n">
        <x:v>89</x:v>
      </x:c>
      <x:c r="B103" s="5" t="str">
        <x:v>MAX3226EETE+</x:v>
      </x:c>
      <x:c r="C103" s="5" t="str">
        <x:v>Package_DFN_QFN:TQFN-16-1EP_5x5mm_P0.8mm_EP3.1x3.1mm</x:v>
      </x:c>
      <x:c r="D103" s="5" t="str"/>
      <x:c r="E103" s="5" t="str"/>
      <x:c r="F103" s="5" t="str">
        <x:v>https://www.analog.com/media/en/technical-documentation/data-sheets/MAX3224E-MAX3245E.pdf</x:v>
      </x:c>
      <x:c r="G103" s="5" t="str">
        <x:v>Licor.kicad_sch; auxiliary.kicad_sch; comms.kicad_sch</x:v>
      </x:c>
    </x:row>
    <x:row r="104" ht="44" customHeight="1">
      <x:c r="A104" s="3" t="n">
        <x:v>90</x:v>
      </x:c>
      <x:c r="B104" s="5" t="str">
        <x:v>ABM8AAIG-8.000MHz-V2R-T3</x:v>
      </x:c>
      <x:c r="C104" s="5" t="str">
        <x:v>DIC_Board:ABM8AAIG-2Pin_3.2x2.5mm</x:v>
      </x:c>
      <x:c r="D104" s="5" t="str"/>
      <x:c r="E104" s="5" t="str"/>
      <x:c r="F104" s="5" t="str">
        <x:v>https://abracon.com/datasheets/ABM8AAIG.pdf</x:v>
      </x:c>
      <x:c r="G104" s="5" t="str">
        <x:v>mcu.kicad_sch</x:v>
      </x:c>
    </x:row>
    <x:row r="105" ht="44" customHeight="1">
      <x:c r="A105" s="3" t="n">
        <x:v>91</x:v>
      </x:c>
      <x:c r="B105" s="5" t="str">
        <x:v>ABS06-107-32.768KHZ-T</x:v>
      </x:c>
      <x:c r="C105" s="5" t="str">
        <x:v>DIC_Board:ABS06-107-2Pin_2.0x1.2mm</x:v>
      </x:c>
      <x:c r="D105" s="5" t="str"/>
      <x:c r="E105" s="5" t="str"/>
      <x:c r="F105" s="5" t="str">
        <x:v>https://abracon.com/Resonators/ABS06-107-32.768kHz-T.pdf</x:v>
      </x:c>
      <x:c r="G105" s="5" t="str">
        <x:v>mcu.kicad_sch</x:v>
      </x:c>
    </x:row>
    <x:row r="106">
      <x:c r="A106" s="3"/>
      <x:c r="B106" s="3"/>
      <x:c r="C106" s="3"/>
      <x:c r="D106" s="3"/>
      <x:c r="E106" s="3"/>
      <x:c r="F106" s="3"/>
      <x:c r="G106" s="3"/>
    </x:row>
    <x:row r="107">
      <x:c r="A107" s="10" t="str">
        <x:v>Excluded PCB features</x:v>
      </x:c>
      <x:c r="B107" s="3"/>
      <x:c r="C107" s="3"/>
      <x:c r="D107" s="3"/>
      <x:c r="E107" s="3"/>
      <x:c r="F107" s="3"/>
      <x:c r="G107" s="3"/>
    </x:row>
    <x:row r="108">
      <x:c r="A108" s="3"/>
      <x:c r="B108" s="3"/>
      <x:c r="C108" s="3"/>
      <x:c r="D108" s="3"/>
      <x:c r="E108" s="3"/>
      <x:c r="F108" s="3"/>
      <x:c r="G108" s="3"/>
    </x:row>
    <x:row r="109" ht="32" customHeight="1">
      <x:c r="A109" s="8" t="str">
        <x:v>Reference</x:v>
      </x:c>
      <x:c r="B109" s="8" t="str">
        <x:v>Value</x:v>
      </x:c>
      <x:c r="C109" s="8" t="str">
        <x:v>Footprint</x:v>
      </x:c>
      <x:c r="D109" s="8" t="str">
        <x:v>Population status</x:v>
      </x:c>
      <x:c r="E109" s="8" t="str">
        <x:v>MPN</x:v>
      </x:c>
      <x:c r="F109" s="8" t="str">
        <x:v>Reason</x:v>
      </x:c>
      <x:c r="G109" s="8" t="str"/>
    </x:row>
    <x:row r="110" ht="34" customHeight="1">
      <x:c r="A110" s="3" t="str">
        <x:v>H1</x:v>
      </x:c>
      <x:c r="B110" s="3" t="str"/>
      <x:c r="C110" s="3" t="str">
        <x:v>MountingHole:MountingHole_2.5mm_Pad</x:v>
      </x:c>
      <x:c r="D110" s="3" t="str">
        <x:v>Excluded from BOM</x:v>
      </x:c>
      <x:c r="E110" s="3" t="str"/>
      <x:c r="F110" s="3" t="str">
        <x:v>PCB mounting hole; no separately fitted part</x:v>
      </x:c>
      <x:c r="G110" s="3" t="str"/>
    </x:row>
    <x:row r="111" ht="34" customHeight="1">
      <x:c r="A111" s="3" t="str">
        <x:v>H2</x:v>
      </x:c>
      <x:c r="B111" s="3" t="str"/>
      <x:c r="C111" s="3" t="str">
        <x:v>MountingHole:MountingHole_2.5mm_Pad</x:v>
      </x:c>
      <x:c r="D111" s="3" t="str">
        <x:v>Excluded from BOM</x:v>
      </x:c>
      <x:c r="E111" s="3" t="str"/>
      <x:c r="F111" s="3" t="str">
        <x:v>PCB mounting hole; no separately fitted part</x:v>
      </x:c>
      <x:c r="G111" s="3" t="str"/>
    </x:row>
    <x:row r="112" ht="34" customHeight="1">
      <x:c r="A112" s="3" t="str">
        <x:v>H3</x:v>
      </x:c>
      <x:c r="B112" s="3" t="str"/>
      <x:c r="C112" s="3" t="str">
        <x:v>MountingHole:MountingHole_2.5mm_Pad</x:v>
      </x:c>
      <x:c r="D112" s="3" t="str">
        <x:v>Excluded from BOM</x:v>
      </x:c>
      <x:c r="E112" s="3" t="str"/>
      <x:c r="F112" s="3" t="str">
        <x:v>PCB mounting hole; no separately fitted part</x:v>
      </x:c>
      <x:c r="G112" s="3" t="str"/>
    </x:row>
    <x:row r="113" ht="34" customHeight="1">
      <x:c r="A113" s="3" t="str">
        <x:v>H4</x:v>
      </x:c>
      <x:c r="B113" s="3" t="str"/>
      <x:c r="C113" s="3" t="str">
        <x:v>MountingHole:MountingHole_2.5mm_Pad</x:v>
      </x:c>
      <x:c r="D113" s="3" t="str">
        <x:v>Excluded from BOM</x:v>
      </x:c>
      <x:c r="E113" s="3" t="str"/>
      <x:c r="F113" s="3" t="str">
        <x:v>PCB mounting hole; no separately fitted part</x:v>
      </x:c>
      <x:c r="G113" s="3" t="str"/>
    </x:row>
    <x:row r="114" ht="34" customHeight="1">
      <x:c r="A114" s="3" t="str">
        <x:v>TP20</x:v>
      </x:c>
      <x:c r="B114" s="3" t="str">
        <x:v>P_IN</x:v>
      </x:c>
      <x:c r="C114" s="3" t="str">
        <x:v>TestPoint:TestPoint_Pad_D1.0mm</x:v>
      </x:c>
      <x:c r="D114" s="3" t="str">
        <x:v>Excluded from BOM</x:v>
      </x:c>
      <x:c r="E114" s="3" t="str"/>
      <x:c r="F114" s="3" t="str">
        <x:v>1 mm copper test pad; no separately fitted part</x:v>
      </x:c>
      <x:c r="G114" s="3" t="str"/>
    </x:row>
    <x:row r="115" ht="34" customHeight="1">
      <x:c r="A115" s="3" t="str">
        <x:v>TP21</x:v>
      </x:c>
      <x:c r="B115" s="3" t="str">
        <x:v>P_IN</x:v>
      </x:c>
      <x:c r="C115" s="3" t="str">
        <x:v>TestPoint:TestPoint_Pad_D1.0mm</x:v>
      </x:c>
      <x:c r="D115" s="3" t="str">
        <x:v>Excluded from BOM</x:v>
      </x:c>
      <x:c r="E115" s="3" t="str"/>
      <x:c r="F115" s="3" t="str">
        <x:v>1 mm copper test pad; no separately fitted part</x:v>
      </x:c>
      <x:c r="G115" s="3" t="str"/>
    </x:row>
    <x:row r="116" ht="34" customHeight="1">
      <x:c r="A116" s="3" t="str">
        <x:v>TP22</x:v>
      </x:c>
      <x:c r="B116" s="3" t="str">
        <x:v>+12V</x:v>
      </x:c>
      <x:c r="C116" s="3" t="str">
        <x:v>TestPoint:TestPoint_Pad_D1.0mm</x:v>
      </x:c>
      <x:c r="D116" s="3" t="str">
        <x:v>Excluded from BOM</x:v>
      </x:c>
      <x:c r="E116" s="3" t="str"/>
      <x:c r="F116" s="3" t="str">
        <x:v>1 mm copper test pad; no separately fitted part</x:v>
      </x:c>
      <x:c r="G116" s="3" t="str"/>
    </x:row>
    <x:row r="117" ht="34" customHeight="1">
      <x:c r="A117" s="3" t="str">
        <x:v>TP23</x:v>
      </x:c>
      <x:c r="B117" s="3" t="str">
        <x:v>+3V3</x:v>
      </x:c>
      <x:c r="C117" s="3" t="str">
        <x:v>TestPoint:TestPoint_Pad_D1.0mm</x:v>
      </x:c>
      <x:c r="D117" s="3" t="str">
        <x:v>Excluded from BOM</x:v>
      </x:c>
      <x:c r="E117" s="3" t="str"/>
      <x:c r="F117" s="3" t="str">
        <x:v>1 mm copper test pad; no separately fitted part</x:v>
      </x:c>
      <x:c r="G117" s="3" t="str"/>
    </x:row>
    <x:row r="118" ht="34" customHeight="1">
      <x:c r="A118" s="3" t="str">
        <x:v>TP24</x:v>
      </x:c>
      <x:c r="B118" s="3" t="str">
        <x:v>+5V</x:v>
      </x:c>
      <x:c r="C118" s="3" t="str">
        <x:v>TestPoint:TestPoint_Pad_D1.0mm</x:v>
      </x:c>
      <x:c r="D118" s="3" t="str">
        <x:v>Excluded from BOM</x:v>
      </x:c>
      <x:c r="E118" s="3" t="str"/>
      <x:c r="F118" s="3" t="str">
        <x:v>1 mm copper test pad; no separately fitted part</x:v>
      </x:c>
      <x:c r="G118" s="3" t="str"/>
    </x:row>
    <x:row r="119" ht="34" customHeight="1">
      <x:c r="A119" s="3" t="str">
        <x:v>TP25</x:v>
      </x:c>
      <x:c r="B119" s="3" t="str">
        <x:v>+6V6</x:v>
      </x:c>
      <x:c r="C119" s="3" t="str">
        <x:v>TestPoint:TestPoint_Pad_D1.0mm</x:v>
      </x:c>
      <x:c r="D119" s="3" t="str">
        <x:v>Excluded from BOM</x:v>
      </x:c>
      <x:c r="E119" s="3" t="str"/>
      <x:c r="F119" s="3" t="str">
        <x:v>1 mm copper test pad; no separately fitted part</x:v>
      </x:c>
      <x:c r="G119" s="3" t="str"/>
    </x:row>
    <x:row r="120" ht="34" customHeight="1">
      <x:c r="A120" s="3" t="str">
        <x:v>TP26</x:v>
      </x:c>
      <x:c r="B120" s="3" t="str">
        <x:v>+2V8</x:v>
      </x:c>
      <x:c r="C120" s="3" t="str">
        <x:v>TestPoint:TestPoint_Pad_D1.0mm</x:v>
      </x:c>
      <x:c r="D120" s="3" t="str">
        <x:v>Excluded from BOM</x:v>
      </x:c>
      <x:c r="E120" s="3" t="str"/>
      <x:c r="F120" s="3" t="str">
        <x:v>1 mm copper test pad; no separately fitted part</x:v>
      </x:c>
      <x:c r="G120" s="3" t="str"/>
    </x:row>
    <x:row r="121">
      <x:c r="A121" s="3"/>
      <x:c r="B121" s="3"/>
      <x:c r="C121" s="3"/>
      <x:c r="D121" s="3"/>
      <x:c r="E121" s="3"/>
      <x:c r="F121" s="3"/>
      <x:c r="G121" s="3"/>
    </x:row>
    <x:row r="122">
      <x:c r="A122" s="3"/>
      <x:c r="B122" s="3"/>
      <x:c r="C122" s="3"/>
      <x:c r="D122" s="3"/>
      <x:c r="E122" s="3"/>
      <x:c r="F122" s="3"/>
      <x:c r="G122" s="3"/>
    </x:row>
    <x:row r="123">
      <x:c r="A123" s="3"/>
      <x:c r="B123" s="3"/>
      <x:c r="C123" s="3"/>
      <x:c r="D123" s="3"/>
      <x:c r="E123" s="3"/>
      <x:c r="F123" s="3"/>
      <x:c r="G123" s="3"/>
    </x:row>
    <x:row r="124">
      <x:c r="A124" s="3"/>
      <x:c r="B124" s="3"/>
      <x:c r="C124" s="3"/>
      <x:c r="D124" s="3"/>
      <x:c r="E124" s="3"/>
      <x:c r="F124" s="3"/>
      <x:c r="G124" s="3"/>
    </x:row>
    <x:row r="125">
      <x:c r="A125" s="3"/>
      <x:c r="B125" s="3"/>
      <x:c r="C125" s="3"/>
      <x:c r="D125" s="3"/>
      <x:c r="E125" s="3"/>
      <x:c r="F125" s="3"/>
      <x:c r="G125" s="3"/>
    </x:row>
  </x:sheetData>
  <x:mergeCells>
    <x:mergeCell ref="A2:G2"/>
    <x:mergeCell ref="A4:G4"/>
    <x:mergeCell ref="A5:G5"/>
    <x:mergeCell ref="A6:G6"/>
    <x:mergeCell ref="A7:G7"/>
    <x:mergeCell ref="A107:G107"/>
  </x:mergeCells>
  <x:conditionalFormatting sqref="D15:F105">
    <x:cfRule type="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f1aa47e054b44cc6"/>
  </x:tableParts>
</x:worksheet>
</file>